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7.xml" ContentType="application/vnd.openxmlformats-officedocument.spreadsheetml.table+xml"/>
  <Override PartName="/xl/worksheets/sheet20.xml" ContentType="application/vnd.openxmlformats-officedocument.spreadsheetml.worksheet+xml"/>
  <Override PartName="/xl/tables/table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9.xml" ContentType="application/vnd.openxmlformats-officedocument.spreadsheetml.table+xml"/>
  <Override PartName="/xl/worksheets/sheet28.xml" ContentType="application/vnd.openxmlformats-officedocument.spreadsheetml.worksheet+xml"/>
  <Override PartName="/xl/tables/table10.xml" ContentType="application/vnd.openxmlformats-officedocument.spreadsheetml.table+xml"/>
  <Override PartName="/xl/worksheets/sheet29.xml" ContentType="application/vnd.openxmlformats-officedocument.spreadsheetml.worksheet+xml"/>
  <Override PartName="/xl/tables/table11.xml" ContentType="application/vnd.openxmlformats-officedocument.spreadsheetml.table+xml"/>
  <Override PartName="/xl/worksheets/sheet30.xml" ContentType="application/vnd.openxmlformats-officedocument.spreadsheetml.worksheet+xml"/>
  <Override PartName="/xl/tables/table12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13.xml" ContentType="application/vnd.openxmlformats-officedocument.spreadsheetml.table+xml"/>
  <Override PartName="/xl/worksheets/sheet33.xml" ContentType="application/vnd.openxmlformats-officedocument.spreadsheetml.worksheet+xml"/>
  <Override PartName="/xl/tables/table14.xml" ContentType="application/vnd.openxmlformats-officedocument.spreadsheetml.table+xml"/>
  <Override PartName="/xl/worksheets/sheet34.xml" ContentType="application/vnd.openxmlformats-officedocument.spreadsheetml.worksheet+xml"/>
  <Override PartName="/xl/tables/table15.xml" ContentType="application/vnd.openxmlformats-officedocument.spreadsheetml.table+xml"/>
  <Override PartName="/xl/worksheets/sheet35.xml" ContentType="application/vnd.openxmlformats-officedocument.spreadsheetml.worksheet+xml"/>
  <Override PartName="/xl/tables/table16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to Insurance Minimum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Policy Disclosures" sheetId="3" state="visible" r:id="rId3"/>
    <sheet xmlns:r="http://schemas.openxmlformats.org/officeDocument/2006/relationships" name="Sources Notes" sheetId="4" state="visible" r:id="rId4"/>
    <sheet xmlns:r="http://schemas.openxmlformats.org/officeDocument/2006/relationships" name="Policy Disclosure QA" sheetId="5" state="visible" r:id="rId5"/>
    <sheet xmlns:r="http://schemas.openxmlformats.org/officeDocument/2006/relationships" name="UM_UIM_Rules" sheetId="6" state="visible" r:id="rId6"/>
    <sheet xmlns:r="http://schemas.openxmlformats.org/officeDocument/2006/relationships" name="Comparative_Negligence" sheetId="7" state="visible" r:id="rId7"/>
    <sheet xmlns:r="http://schemas.openxmlformats.org/officeDocument/2006/relationships" name="PIP_NoFault" sheetId="8" state="visible" r:id="rId8"/>
    <sheet xmlns:r="http://schemas.openxmlformats.org/officeDocument/2006/relationships" name="Bad_Faith" sheetId="9" state="visible" r:id="rId9"/>
    <sheet xmlns:r="http://schemas.openxmlformats.org/officeDocument/2006/relationships" name="Claims_Deadlines" sheetId="10" state="visible" r:id="rId10"/>
    <sheet xmlns:r="http://schemas.openxmlformats.org/officeDocument/2006/relationships" name="Claims_C4_Source_Audit" sheetId="11" state="visible" r:id="rId11"/>
    <sheet xmlns:r="http://schemas.openxmlformats.org/officeDocument/2006/relationships" name="Claims_C5_Audit" sheetId="12" state="visible" r:id="rId12"/>
    <sheet xmlns:r="http://schemas.openxmlformats.org/officeDocument/2006/relationships" name="Claims_C5_Summary" sheetId="13" state="visible" r:id="rId13"/>
    <sheet xmlns:r="http://schemas.openxmlformats.org/officeDocument/2006/relationships" name="Claims_C6_Trigger_Source_Audit" sheetId="14" state="visible" r:id="rId14"/>
    <sheet xmlns:r="http://schemas.openxmlformats.org/officeDocument/2006/relationships" name="Claims_C6_Summary" sheetId="15" state="visible" r:id="rId15"/>
    <sheet xmlns:r="http://schemas.openxmlformats.org/officeDocument/2006/relationships" name="Claims_C7_Website_Ready" sheetId="16" state="visible" r:id="rId16"/>
    <sheet xmlns:r="http://schemas.openxmlformats.org/officeDocument/2006/relationships" name="Claims_C7_Consistency_Audit" sheetId="17" state="visible" r:id="rId17"/>
    <sheet xmlns:r="http://schemas.openxmlformats.org/officeDocument/2006/relationships" name="Claims_C7_Summary" sheetId="18" state="visible" r:id="rId18"/>
    <sheet xmlns:r="http://schemas.openxmlformats.org/officeDocument/2006/relationships" name="Claims_Deadlines_Website" sheetId="19" state="visible" r:id="rId19"/>
    <sheet xmlns:r="http://schemas.openxmlformats.org/officeDocument/2006/relationships" name="Claims_Deadlines_Release_Audit" sheetId="20" state="visible" r:id="rId20"/>
    <sheet xmlns:r="http://schemas.openxmlformats.org/officeDocument/2006/relationships" name="Claims_Deadlines_Validation" sheetId="21" state="visible" r:id="rId21"/>
    <sheet xmlns:r="http://schemas.openxmlformats.org/officeDocument/2006/relationships" name="C8_ReadMe" sheetId="22" state="visible" r:id="rId22"/>
    <sheet xmlns:r="http://schemas.openxmlformats.org/officeDocument/2006/relationships" name="Policy_Disclosure_D2_Audit" sheetId="23" state="visible" r:id="rId23"/>
    <sheet xmlns:r="http://schemas.openxmlformats.org/officeDocument/2006/relationships" name="Policy_Disclosure_D2_Source_Hardening" sheetId="24" state="visible" r:id="rId24"/>
    <sheet xmlns:r="http://schemas.openxmlformats.org/officeDocument/2006/relationships" name="Policy_Disclosure_Website_Ready" sheetId="25" state="visible" r:id="rId25"/>
    <sheet xmlns:r="http://schemas.openxmlformats.org/officeDocument/2006/relationships" name="Policy_Disclosure_D2_Release_Audit" sheetId="26" state="visible" r:id="rId26"/>
    <sheet xmlns:r="http://schemas.openxmlformats.org/officeDocument/2006/relationships" name="Source_Index" sheetId="27" state="visible" r:id="rId27"/>
    <sheet xmlns:r="http://schemas.openxmlformats.org/officeDocument/2006/relationships" name="D3_Cross_Sheet_Validation" sheetId="28" state="visible" r:id="rId28"/>
    <sheet xmlns:r="http://schemas.openxmlformats.org/officeDocument/2006/relationships" name="D3_URL_Audit" sheetId="29" state="visible" r:id="rId29"/>
    <sheet xmlns:r="http://schemas.openxmlformats.org/officeDocument/2006/relationships" name="D3_Maintenance_Framework" sheetId="30" state="visible" r:id="rId30"/>
    <sheet xmlns:r="http://schemas.openxmlformats.org/officeDocument/2006/relationships" name="D3_Summary" sheetId="31" state="visible" r:id="rId31"/>
    <sheet xmlns:r="http://schemas.openxmlformats.org/officeDocument/2006/relationships" name="D4_Release_Readiness" sheetId="32" state="visible" r:id="rId32"/>
    <sheet xmlns:r="http://schemas.openxmlformats.org/officeDocument/2006/relationships" name="D4_Deployment_Manifest" sheetId="33" state="visible" r:id="rId33"/>
    <sheet xmlns:r="http://schemas.openxmlformats.org/officeDocument/2006/relationships" name="D4_Annual_Update_Queue" sheetId="34" state="visible" r:id="rId34"/>
    <sheet xmlns:r="http://schemas.openxmlformats.org/officeDocument/2006/relationships" name="D4_Summary" sheetId="35" state="visible" r:id="rId35"/>
    <sheet xmlns:r="http://schemas.openxmlformats.org/officeDocument/2006/relationships" name="D5_Website_Integration_QA" sheetId="36" state="visible" r:id="rId36"/>
    <sheet xmlns:r="http://schemas.openxmlformats.org/officeDocument/2006/relationships" name="D5_Data_Surface_Map" sheetId="37" state="visible" r:id="rId37"/>
    <sheet xmlns:r="http://schemas.openxmlformats.org/officeDocument/2006/relationships" name="D5_Final_Release_Checklist" sheetId="38" state="visible" r:id="rId38"/>
    <sheet xmlns:r="http://schemas.openxmlformats.org/officeDocument/2006/relationships" name="D5_Summary" sheetId="39" state="visible" r:id="rId39"/>
    <sheet xmlns:r="http://schemas.openxmlformats.org/officeDocument/2006/relationships" name="D6_Claims_Website_Integration" sheetId="40" state="visible" r:id="rId40"/>
    <sheet xmlns:r="http://schemas.openxmlformats.org/officeDocument/2006/relationships" name="D6_Website_Surface_QA" sheetId="41" state="visible" r:id="rId41"/>
    <sheet xmlns:r="http://schemas.openxmlformats.org/officeDocument/2006/relationships" name="D6_Summary" sheetId="42" state="visible" r:id="rId42"/>
    <sheet xmlns:r="http://schemas.openxmlformats.org/officeDocument/2006/relationships" name="D7_Production_Readiness" sheetId="43" state="visible" r:id="rId43"/>
    <sheet xmlns:r="http://schemas.openxmlformats.org/officeDocument/2006/relationships" name="D7_Local_Test_Instructions" sheetId="44" state="visible" r:id="rId44"/>
    <sheet xmlns:r="http://schemas.openxmlformats.org/officeDocument/2006/relationships" name="D7_Manual_Test_Cases" sheetId="45" state="visible" r:id="rId45"/>
    <sheet xmlns:r="http://schemas.openxmlformats.org/officeDocument/2006/relationships" name="D7_Data_Dictionary" sheetId="46" state="visible" r:id="rId46"/>
    <sheet xmlns:r="http://schemas.openxmlformats.org/officeDocument/2006/relationships" name="D7_Summary" sheetId="47" state="visible" r:id="rId47"/>
    <sheet xmlns:r="http://schemas.openxmlformats.org/officeDocument/2006/relationships" name="D9_Minimums_Fix_QA" sheetId="48" state="visible" r:id="rId48"/>
    <sheet xmlns:r="http://schemas.openxmlformats.org/officeDocument/2006/relationships" name="D9_Manual_Retest_List" sheetId="49" state="visible" r:id="rId49"/>
    <sheet xmlns:r="http://schemas.openxmlformats.org/officeDocument/2006/relationships" name="D9_Summary" sheetId="50" state="visible" r:id="rId50"/>
    <sheet xmlns:r="http://schemas.openxmlformats.org/officeDocument/2006/relationships" name="D10_Website_Smoke_QA" sheetId="51" state="visible" r:id="rId51"/>
    <sheet xmlns:r="http://schemas.openxmlformats.org/officeDocument/2006/relationships" name="D10_Local_Retest_Log" sheetId="52" state="visible" r:id="rId52"/>
    <sheet xmlns:r="http://schemas.openxmlformats.org/officeDocument/2006/relationships" name="D10_Summary" sheetId="53" state="visible" r:id="rId53"/>
    <sheet xmlns:r="http://schemas.openxmlformats.org/officeDocument/2006/relationships" name="D11_Regression_QA" sheetId="54" state="visible" r:id="rId54"/>
    <sheet xmlns:r="http://schemas.openxmlformats.org/officeDocument/2006/relationships" name="D11_Local_Test_Plan" sheetId="55" state="visible" r:id="rId55"/>
    <sheet xmlns:r="http://schemas.openxmlformats.org/officeDocument/2006/relationships" name="D11_Release_Notes" sheetId="56" state="visible" r:id="rId56"/>
    <sheet xmlns:r="http://schemas.openxmlformats.org/officeDocument/2006/relationships" name="D11_Summary" sheetId="57" state="visible" r:id="rId57"/>
    <sheet xmlns:r="http://schemas.openxmlformats.org/officeDocument/2006/relationships" name="D12_Website_Fixes" sheetId="58" state="visible" r:id="rId58"/>
    <sheet xmlns:r="http://schemas.openxmlformats.org/officeDocument/2006/relationships" name="D12_Link_Diagnostics" sheetId="59" state="visible" r:id="rId59"/>
    <sheet xmlns:r="http://schemas.openxmlformats.org/officeDocument/2006/relationships" name="D12_Local_Retest_List" sheetId="60" state="visible" r:id="rId60"/>
    <sheet xmlns:r="http://schemas.openxmlformats.org/officeDocument/2006/relationships" name="Minimum_Source_URLs" sheetId="61" state="visible" r:id="rId61"/>
    <sheet xmlns:r="http://schemas.openxmlformats.org/officeDocument/2006/relationships" name="D13_Link_Citation_Audit" sheetId="62" state="visible" r:id="rId62"/>
    <sheet xmlns:r="http://schemas.openxmlformats.org/officeDocument/2006/relationships" name="D13_Summary" sheetId="63" state="visible" r:id="rId6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Calibri"/>
      <b val="1"/>
      <color rgb="00FFFFFF"/>
      <sz val="11"/>
    </font>
    <font>
      <name val="Calibri"/>
      <color rgb="00FFFFFF"/>
      <sz val="11"/>
    </font>
    <font>
      <name val="Cambria"/>
      <color rgb="00FFFFFF"/>
      <sz val="11"/>
    </font>
    <font>
      <name val="Calibri"/>
      <color theme="10"/>
      <sz val="12"/>
    </font>
    <font>
      <name val="Calibri"/>
      <b val="1"/>
      <color rgb="00FFFFFF"/>
      <sz val="14"/>
    </font>
    <font>
      <name val="Calibri"/>
      <i val="1"/>
      <color rgb="00374151"/>
      <sz val="11"/>
    </font>
    <font>
      <name val="Calibri"/>
      <b val="1"/>
      <color rgb="0092400E"/>
      <sz val="11"/>
    </font>
    <font>
      <b val="1"/>
    </font>
    <font>
      <b val="1"/>
      <color rgb="00FFFFFF"/>
    </font>
    <font>
      <name val="Calibri"/>
      <b val="1"/>
      <color theme="1"/>
      <sz val="11"/>
    </font>
    <font>
      <name val="Calibri"/>
      <family val="2"/>
      <color theme="10"/>
      <sz val="12"/>
      <scheme val="minor"/>
    </font>
    <font>
      <b val="1"/>
      <color rgb="00006100"/>
    </font>
  </fonts>
  <fills count="4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/>
    </fill>
    <fill>
      <patternFill patternType="solid">
        <fgColor rgb="001F1F1F"/>
      </patternFill>
    </fill>
    <fill>
      <patternFill patternType="solid">
        <fgColor rgb="001F4E79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2937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334155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4E79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065F46"/>
      </patternFill>
    </fill>
    <fill>
      <patternFill patternType="solid">
        <fgColor rgb="00111827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F2937"/>
      </patternFill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1F2937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5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/>
      <diagonal/>
    </border>
  </borders>
  <cellStyleXfs count="8">
    <xf numFmtId="0" fontId="0" fillId="0" borderId="2" applyAlignment="1">
      <alignment horizontal="general" vertical="bottom"/>
    </xf>
    <xf numFmtId="43" fontId="3" fillId="0" borderId="2"/>
    <xf numFmtId="41" fontId="3" fillId="0" borderId="2"/>
    <xf numFmtId="44" fontId="3" fillId="0" borderId="2"/>
    <xf numFmtId="42" fontId="3" fillId="0" borderId="2"/>
    <xf numFmtId="9" fontId="3" fillId="0" borderId="2"/>
    <xf numFmtId="0" fontId="7" fillId="0" borderId="2" applyAlignment="1">
      <alignment horizontal="general" vertical="bottom"/>
    </xf>
    <xf numFmtId="0" fontId="14" fillId="0" borderId="4"/>
  </cellStyleXfs>
  <cellXfs count="50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3" borderId="1" applyAlignment="1" pivotButton="0" quotePrefix="0" xfId="20">
      <alignment horizontal="general" vertical="top" wrapText="1"/>
    </xf>
    <xf numFmtId="0" fontId="4" fillId="4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  <xf numFmtId="0" fontId="4" fillId="2" borderId="3" applyAlignment="1" pivotButton="0" quotePrefix="0" xfId="0">
      <alignment horizontal="general" vertical="top" wrapText="1"/>
    </xf>
    <xf numFmtId="0" fontId="5" fillId="3" borderId="3" applyAlignment="1" pivotButton="0" quotePrefix="0" xfId="0">
      <alignment horizontal="general" vertical="top" wrapText="1"/>
    </xf>
    <xf numFmtId="0" fontId="6" fillId="3" borderId="3" applyAlignment="1" pivotButton="0" quotePrefix="0" xfId="0">
      <alignment horizontal="general" vertical="top" wrapText="1"/>
    </xf>
    <xf numFmtId="0" fontId="4" fillId="4" borderId="3" applyAlignment="1" pivotButton="0" quotePrefix="0" xfId="0">
      <alignment horizontal="general" vertical="top" wrapText="1"/>
    </xf>
    <xf numFmtId="0" fontId="0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 wrapText="1"/>
    </xf>
    <xf numFmtId="0" fontId="4" fillId="5" borderId="0" applyAlignment="1" pivotButton="0" quotePrefix="0" xfId="0">
      <alignment horizontal="center" vertical="bottom" wrapText="1"/>
    </xf>
    <xf numFmtId="0" fontId="4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general" vertical="bottom"/>
    </xf>
    <xf numFmtId="0" fontId="4" fillId="5" borderId="2" applyAlignment="1" pivotButton="0" quotePrefix="0" xfId="0">
      <alignment horizontal="general" vertical="bottom"/>
    </xf>
    <xf numFmtId="0" fontId="4" fillId="5" borderId="2" applyAlignment="1" pivotButton="0" quotePrefix="0" xfId="0">
      <alignment horizontal="general" vertical="bottom" wrapText="1"/>
    </xf>
    <xf numFmtId="0" fontId="4" fillId="5" borderId="2" applyAlignment="1" pivotButton="0" quotePrefix="0" xfId="0">
      <alignment horizontal="center" vertical="bottom" wrapText="1"/>
    </xf>
    <xf numFmtId="0" fontId="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2" applyAlignment="1" pivotButton="0" quotePrefix="0" xfId="0">
      <alignment horizontal="general" vertical="bottom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center" vertical="bottom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4" fillId="5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4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general" vertical="top" wrapText="1"/>
    </xf>
    <xf numFmtId="0" fontId="0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 wrapText="1"/>
    </xf>
    <xf numFmtId="0" fontId="4" fillId="5" borderId="0" applyAlignment="1" pivotButton="0" quotePrefix="0" xfId="0">
      <alignment horizontal="center" vertical="bottom" wrapText="1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center" vertical="bottom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 wrapText="1"/>
    </xf>
    <xf numFmtId="0" fontId="0" fillId="9" borderId="0" applyAlignment="1" pivotButton="0" quotePrefix="0" xfId="0">
      <alignment horizontal="general" vertical="bottom"/>
    </xf>
    <xf numFmtId="0" fontId="4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4" fillId="9" borderId="0" applyAlignment="1" pivotButton="0" quotePrefix="0" xfId="0">
      <alignment horizontal="general" vertical="bottom" wrapText="1"/>
    </xf>
    <xf numFmtId="0" fontId="4" fillId="10" borderId="0" applyAlignment="1" pivotButton="0" quotePrefix="0" xfId="0">
      <alignment horizontal="general" vertical="bottom" wrapText="1"/>
    </xf>
    <xf numFmtId="0" fontId="0" fillId="8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 wrapText="1"/>
    </xf>
    <xf numFmtId="0" fontId="0" fillId="11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center" vertical="bottom"/>
    </xf>
    <xf numFmtId="0" fontId="8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 wrapText="1"/>
    </xf>
    <xf numFmtId="0" fontId="0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 wrapText="1"/>
    </xf>
    <xf numFmtId="0" fontId="4" fillId="13" borderId="0" applyAlignment="1" pivotButton="0" quotePrefix="0" xfId="0">
      <alignment horizontal="center" vertical="bottom" wrapText="1"/>
    </xf>
    <xf numFmtId="0" fontId="4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9" fillId="1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4" fillId="13" borderId="0" applyAlignment="1" pivotButton="0" quotePrefix="0" xfId="0">
      <alignment horizontal="center" vertical="top" wrapText="1"/>
    </xf>
    <xf numFmtId="0" fontId="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 wrapText="1"/>
    </xf>
    <xf numFmtId="0" fontId="8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center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top"/>
    </xf>
    <xf numFmtId="0" fontId="8" fillId="15" borderId="0" applyAlignment="1" pivotButton="0" quotePrefix="0" xfId="0">
      <alignment horizontal="center" vertical="top"/>
    </xf>
    <xf numFmtId="0" fontId="4" fillId="16" borderId="0" applyAlignment="1" pivotButton="0" quotePrefix="0" xfId="0">
      <alignment horizontal="center" vertical="top" wrapText="1"/>
    </xf>
    <xf numFmtId="0" fontId="4" fillId="16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general" vertical="top" wrapText="1"/>
    </xf>
    <xf numFmtId="0" fontId="4" fillId="1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top" wrapText="1"/>
    </xf>
    <xf numFmtId="0" fontId="8" fillId="8" borderId="2" applyAlignment="1" pivotButton="0" quotePrefix="0" xfId="0">
      <alignment horizontal="center" vertical="top" wrapText="1"/>
    </xf>
    <xf numFmtId="0" fontId="0" fillId="0" borderId="2" pivotButton="0" quotePrefix="0" xfId="0"/>
    <xf numFmtId="0" fontId="9" fillId="12" borderId="2" applyAlignment="1" pivotButton="0" quotePrefix="0" xfId="0">
      <alignment horizontal="general" vertical="top" wrapText="1"/>
    </xf>
    <xf numFmtId="0" fontId="10" fillId="14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general" vertical="top" wrapText="1"/>
    </xf>
    <xf numFmtId="0" fontId="0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 wrapText="1"/>
    </xf>
    <xf numFmtId="0" fontId="4" fillId="5" borderId="0" applyAlignment="1" pivotButton="0" quotePrefix="0" xfId="0">
      <alignment horizontal="center" vertical="bottom" wrapText="1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center" vertical="bottom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 wrapText="1"/>
    </xf>
    <xf numFmtId="0" fontId="0" fillId="8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 wrapText="1"/>
    </xf>
    <xf numFmtId="0" fontId="4" fillId="10" borderId="0" applyAlignment="1" pivotButton="0" quotePrefix="0" xfId="0">
      <alignment horizontal="general" vertical="bottom" wrapText="1"/>
    </xf>
    <xf numFmtId="0" fontId="8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center" vertical="bottom"/>
    </xf>
    <xf numFmtId="0" fontId="8" fillId="8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 wrapText="1"/>
    </xf>
    <xf numFmtId="0" fontId="0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 wrapText="1"/>
    </xf>
    <xf numFmtId="0" fontId="4" fillId="13" borderId="0" applyAlignment="1" pivotButton="0" quotePrefix="0" xfId="0">
      <alignment horizontal="center" vertical="bottom" wrapText="1"/>
    </xf>
    <xf numFmtId="0" fontId="4" fillId="13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top"/>
    </xf>
    <xf numFmtId="0" fontId="9" fillId="1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4" fillId="13" borderId="0" applyAlignment="1" pivotButton="0" quotePrefix="0" xfId="0">
      <alignment horizontal="center" vertical="top" wrapText="1"/>
    </xf>
    <xf numFmtId="0" fontId="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 wrapText="1"/>
    </xf>
    <xf numFmtId="0" fontId="4" fillId="16" borderId="0" applyAlignment="1" pivotButton="0" quotePrefix="0" xfId="0">
      <alignment horizontal="center" vertical="top" wrapText="1"/>
    </xf>
    <xf numFmtId="0" fontId="4" fillId="16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center" vertical="top" wrapText="1"/>
    </xf>
    <xf numFmtId="0" fontId="0" fillId="18" borderId="0" applyAlignment="1" pivotButton="0" quotePrefix="0" xfId="0">
      <alignment horizontal="general" vertical="bottom"/>
    </xf>
    <xf numFmtId="0" fontId="4" fillId="18" borderId="0" applyAlignment="1" pivotButton="0" quotePrefix="0" xfId="0">
      <alignment horizontal="general" vertical="bottom"/>
    </xf>
    <xf numFmtId="0" fontId="4" fillId="18" borderId="0" applyAlignment="1" pivotButton="0" quotePrefix="0" xfId="0">
      <alignment horizontal="center" vertical="bottom"/>
    </xf>
    <xf numFmtId="0" fontId="4" fillId="18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general" vertical="top" wrapText="1"/>
    </xf>
    <xf numFmtId="0" fontId="0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 wrapText="1"/>
    </xf>
    <xf numFmtId="0" fontId="4" fillId="5" borderId="0" applyAlignment="1" pivotButton="0" quotePrefix="0" xfId="0">
      <alignment horizontal="center" vertical="bottom" wrapText="1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center" vertical="bottom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 wrapText="1"/>
    </xf>
    <xf numFmtId="0" fontId="0" fillId="8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 wrapText="1"/>
    </xf>
    <xf numFmtId="0" fontId="4" fillId="10" borderId="0" applyAlignment="1" pivotButton="0" quotePrefix="0" xfId="0">
      <alignment horizontal="general" vertical="bottom" wrapText="1"/>
    </xf>
    <xf numFmtId="0" fontId="8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center" vertical="bottom"/>
    </xf>
    <xf numFmtId="0" fontId="8" fillId="8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 wrapText="1"/>
    </xf>
    <xf numFmtId="0" fontId="0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 wrapText="1"/>
    </xf>
    <xf numFmtId="0" fontId="4" fillId="13" borderId="0" applyAlignment="1" pivotButton="0" quotePrefix="0" xfId="0">
      <alignment horizontal="center" vertical="bottom" wrapText="1"/>
    </xf>
    <xf numFmtId="0" fontId="4" fillId="13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top"/>
    </xf>
    <xf numFmtId="0" fontId="9" fillId="1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4" fillId="13" borderId="0" applyAlignment="1" pivotButton="0" quotePrefix="0" xfId="0">
      <alignment horizontal="center" vertical="top" wrapText="1"/>
    </xf>
    <xf numFmtId="0" fontId="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 wrapText="1"/>
    </xf>
    <xf numFmtId="0" fontId="4" fillId="16" borderId="0" applyAlignment="1" pivotButton="0" quotePrefix="0" xfId="0">
      <alignment horizontal="center" vertical="top" wrapText="1"/>
    </xf>
    <xf numFmtId="0" fontId="4" fillId="16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center" vertical="top" wrapText="1"/>
    </xf>
    <xf numFmtId="0" fontId="0" fillId="20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center" vertical="bottom"/>
    </xf>
    <xf numFmtId="0" fontId="4" fillId="20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 wrapText="1"/>
    </xf>
    <xf numFmtId="0" fontId="0" fillId="22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4" fillId="22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 wrapText="1"/>
    </xf>
    <xf numFmtId="0" fontId="4" fillId="22" borderId="0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general" vertical="top" wrapText="1"/>
    </xf>
    <xf numFmtId="0" fontId="0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 wrapText="1"/>
    </xf>
    <xf numFmtId="0" fontId="4" fillId="5" borderId="0" applyAlignment="1" pivotButton="0" quotePrefix="0" xfId="0">
      <alignment horizontal="center" vertical="bottom" wrapText="1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center" vertical="bottom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 wrapText="1"/>
    </xf>
    <xf numFmtId="0" fontId="0" fillId="8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 wrapText="1"/>
    </xf>
    <xf numFmtId="0" fontId="4" fillId="10" borderId="0" applyAlignment="1" pivotButton="0" quotePrefix="0" xfId="0">
      <alignment horizontal="general" vertical="bottom" wrapText="1"/>
    </xf>
    <xf numFmtId="0" fontId="8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center" vertical="bottom"/>
    </xf>
    <xf numFmtId="0" fontId="8" fillId="8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 wrapText="1"/>
    </xf>
    <xf numFmtId="0" fontId="0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 wrapText="1"/>
    </xf>
    <xf numFmtId="0" fontId="4" fillId="13" borderId="0" applyAlignment="1" pivotButton="0" quotePrefix="0" xfId="0">
      <alignment horizontal="center" vertical="bottom" wrapText="1"/>
    </xf>
    <xf numFmtId="0" fontId="4" fillId="13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top"/>
    </xf>
    <xf numFmtId="0" fontId="9" fillId="1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4" fillId="13" borderId="0" applyAlignment="1" pivotButton="0" quotePrefix="0" xfId="0">
      <alignment horizontal="center" vertical="top" wrapText="1"/>
    </xf>
    <xf numFmtId="0" fontId="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 wrapText="1"/>
    </xf>
    <xf numFmtId="0" fontId="4" fillId="16" borderId="0" applyAlignment="1" pivotButton="0" quotePrefix="0" xfId="0">
      <alignment horizontal="center" vertical="top" wrapText="1"/>
    </xf>
    <xf numFmtId="0" fontId="4" fillId="16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general" vertical="top" wrapText="1"/>
    </xf>
    <xf numFmtId="0" fontId="0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 wrapText="1"/>
    </xf>
    <xf numFmtId="0" fontId="4" fillId="5" borderId="0" applyAlignment="1" pivotButton="0" quotePrefix="0" xfId="0">
      <alignment horizontal="center" vertical="bottom" wrapText="1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center" vertical="bottom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 wrapText="1"/>
    </xf>
    <xf numFmtId="0" fontId="0" fillId="8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 wrapText="1"/>
    </xf>
    <xf numFmtId="0" fontId="4" fillId="10" borderId="0" applyAlignment="1" pivotButton="0" quotePrefix="0" xfId="0">
      <alignment horizontal="general" vertical="bottom" wrapText="1"/>
    </xf>
    <xf numFmtId="0" fontId="8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center" vertical="bottom"/>
    </xf>
    <xf numFmtId="0" fontId="8" fillId="8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 wrapText="1"/>
    </xf>
    <xf numFmtId="0" fontId="0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 wrapText="1"/>
    </xf>
    <xf numFmtId="0" fontId="4" fillId="13" borderId="0" applyAlignment="1" pivotButton="0" quotePrefix="0" xfId="0">
      <alignment horizontal="center" vertical="bottom" wrapText="1"/>
    </xf>
    <xf numFmtId="0" fontId="4" fillId="13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top"/>
    </xf>
    <xf numFmtId="0" fontId="9" fillId="1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4" fillId="13" borderId="0" applyAlignment="1" pivotButton="0" quotePrefix="0" xfId="0">
      <alignment horizontal="center" vertical="top" wrapText="1"/>
    </xf>
    <xf numFmtId="0" fontId="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 wrapText="1"/>
    </xf>
    <xf numFmtId="0" fontId="4" fillId="16" borderId="0" applyAlignment="1" pivotButton="0" quotePrefix="0" xfId="0">
      <alignment horizontal="center" vertical="top" wrapText="1"/>
    </xf>
    <xf numFmtId="0" fontId="4" fillId="16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top" wrapText="1"/>
    </xf>
    <xf numFmtId="0" fontId="11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4" fillId="4" borderId="1" applyAlignment="1" pivotButton="0" quotePrefix="0" xfId="0">
      <alignment horizontal="general" vertical="top" wrapText="1"/>
    </xf>
    <xf numFmtId="0" fontId="0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 wrapText="1"/>
    </xf>
    <xf numFmtId="0" fontId="4" fillId="5" borderId="0" applyAlignment="1" pivotButton="0" quotePrefix="0" xfId="0">
      <alignment horizontal="center" vertical="bottom" wrapText="1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center" vertical="bottom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 wrapText="1"/>
    </xf>
    <xf numFmtId="0" fontId="0" fillId="8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 wrapText="1"/>
    </xf>
    <xf numFmtId="0" fontId="4" fillId="10" borderId="0" applyAlignment="1" pivotButton="0" quotePrefix="0" xfId="0">
      <alignment horizontal="general" vertical="bottom" wrapText="1"/>
    </xf>
    <xf numFmtId="0" fontId="8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center" vertical="bottom"/>
    </xf>
    <xf numFmtId="0" fontId="8" fillId="8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/>
    </xf>
    <xf numFmtId="0" fontId="9" fillId="12" borderId="0" applyAlignment="1" pivotButton="0" quotePrefix="0" xfId="0">
      <alignment horizontal="general" vertical="bottom" wrapText="1"/>
    </xf>
    <xf numFmtId="0" fontId="0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 wrapText="1"/>
    </xf>
    <xf numFmtId="0" fontId="4" fillId="13" borderId="0" applyAlignment="1" pivotButton="0" quotePrefix="0" xfId="0">
      <alignment horizontal="center" vertical="bottom" wrapText="1"/>
    </xf>
    <xf numFmtId="0" fontId="4" fillId="13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top"/>
    </xf>
    <xf numFmtId="0" fontId="9" fillId="1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4" fillId="13" borderId="0" applyAlignment="1" pivotButton="0" quotePrefix="0" xfId="0">
      <alignment horizontal="center" vertical="top" wrapText="1"/>
    </xf>
    <xf numFmtId="0" fontId="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/>
    </xf>
    <xf numFmtId="0" fontId="10" fillId="14" borderId="0" applyAlignment="1" pivotButton="0" quotePrefix="0" xfId="0">
      <alignment horizontal="general" vertical="bottom" wrapText="1"/>
    </xf>
    <xf numFmtId="0" fontId="4" fillId="16" borderId="0" applyAlignment="1" pivotButton="0" quotePrefix="0" xfId="0">
      <alignment horizontal="center" vertical="top" wrapText="1"/>
    </xf>
    <xf numFmtId="0" fontId="4" fillId="16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top" wrapText="1"/>
    </xf>
    <xf numFmtId="0" fontId="11" fillId="0" borderId="0" pivotButton="0" quotePrefix="0" xfId="0"/>
    <xf numFmtId="0" fontId="11" fillId="23" borderId="0" pivotButton="0" quotePrefix="0" xfId="0"/>
    <xf numFmtId="0" fontId="12" fillId="23" borderId="0" pivotButton="0" quotePrefix="0" xfId="0"/>
    <xf numFmtId="0" fontId="12" fillId="23" borderId="0" applyAlignment="1" pivotButton="0" quotePrefix="0" xfId="0">
      <alignment wrapText="1"/>
    </xf>
    <xf numFmtId="0" fontId="12" fillId="23" borderId="0" applyAlignment="1" pivotButton="0" quotePrefix="0" xfId="0">
      <alignment horizontal="center" wrapText="1"/>
    </xf>
    <xf numFmtId="0" fontId="12" fillId="23" borderId="0" applyAlignment="1" pivotButton="0" quotePrefix="0" xfId="0">
      <alignment horizontal="center" vertical="center" wrapText="1"/>
    </xf>
    <xf numFmtId="0" fontId="11" fillId="6" borderId="0" pivotButton="0" quotePrefix="0" xfId="0"/>
    <xf numFmtId="0" fontId="12" fillId="6" borderId="0" pivotButton="0" quotePrefix="0" xfId="0"/>
    <xf numFmtId="0" fontId="12" fillId="6" borderId="0" applyAlignment="1" pivotButton="0" quotePrefix="0" xfId="0">
      <alignment wrapText="1"/>
    </xf>
    <xf numFmtId="0" fontId="12" fillId="6" borderId="0" applyAlignment="1" pivotButton="0" quotePrefix="0" xfId="0">
      <alignment horizontal="center" wrapText="1"/>
    </xf>
    <xf numFmtId="0" fontId="12" fillId="6" borderId="0" applyAlignment="1" pivotButton="0" quotePrefix="0" xfId="0">
      <alignment horizontal="center" vertical="center" wrapText="1"/>
    </xf>
    <xf numFmtId="0" fontId="12" fillId="24" borderId="0" applyAlignment="1" pivotButton="0" quotePrefix="0" xfId="0">
      <alignment horizontal="center" vertical="center" wrapText="1"/>
    </xf>
    <xf numFmtId="0" fontId="0" fillId="25" borderId="0" applyAlignment="1" pivotButton="0" quotePrefix="0" xfId="0">
      <alignment horizontal="general" vertical="bottom"/>
    </xf>
    <xf numFmtId="0" fontId="4" fillId="25" borderId="0" applyAlignment="1" pivotButton="0" quotePrefix="0" xfId="0">
      <alignment horizontal="general" vertical="bottom"/>
    </xf>
    <xf numFmtId="0" fontId="4" fillId="25" borderId="0" applyAlignment="1" pivotButton="0" quotePrefix="0" xfId="0">
      <alignment horizontal="center" vertical="bottom"/>
    </xf>
    <xf numFmtId="0" fontId="4" fillId="25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center" vertical="center" wrapText="1"/>
    </xf>
    <xf numFmtId="0" fontId="12" fillId="25" borderId="0" applyAlignment="1" pivotButton="0" quotePrefix="0" xfId="0">
      <alignment horizontal="center" vertical="center" wrapText="1"/>
    </xf>
    <xf numFmtId="0" fontId="0" fillId="26" borderId="0" applyAlignment="1" pivotButton="0" quotePrefix="0" xfId="0">
      <alignment horizontal="general" vertical="bottom"/>
    </xf>
    <xf numFmtId="0" fontId="4" fillId="26" borderId="0" applyAlignment="1" pivotButton="0" quotePrefix="0" xfId="0">
      <alignment horizontal="general" vertical="bottom"/>
    </xf>
    <xf numFmtId="0" fontId="4" fillId="26" borderId="0" applyAlignment="1" pivotButton="0" quotePrefix="0" xfId="0">
      <alignment horizontal="general" vertical="bottom" wrapText="1"/>
    </xf>
    <xf numFmtId="0" fontId="4" fillId="26" borderId="0" applyAlignment="1" pivotButton="0" quotePrefix="0" xfId="0">
      <alignment horizontal="center" vertical="bottom" wrapText="1"/>
    </xf>
    <xf numFmtId="0" fontId="4" fillId="2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bottom" wrapText="1"/>
    </xf>
    <xf numFmtId="0" fontId="0" fillId="27" borderId="0" applyAlignment="1" pivotButton="0" quotePrefix="0" xfId="0">
      <alignment horizontal="general" vertical="bottom"/>
    </xf>
    <xf numFmtId="0" fontId="4" fillId="27" borderId="0" applyAlignment="1" pivotButton="0" quotePrefix="0" xfId="0">
      <alignment horizontal="general" vertical="bottom"/>
    </xf>
    <xf numFmtId="0" fontId="4" fillId="27" borderId="0" applyAlignment="1" pivotButton="0" quotePrefix="0" xfId="0">
      <alignment horizontal="center" vertical="bottom"/>
    </xf>
    <xf numFmtId="0" fontId="4" fillId="27" borderId="0" applyAlignment="1" pivotButton="0" quotePrefix="0" xfId="0">
      <alignment horizontal="center" vertical="center"/>
    </xf>
    <xf numFmtId="0" fontId="4" fillId="27" borderId="0" applyAlignment="1" pivotButton="0" quotePrefix="0" xfId="0">
      <alignment horizontal="center" vertical="center" wrapText="1"/>
    </xf>
    <xf numFmtId="0" fontId="12" fillId="27" borderId="0" applyAlignment="1" pivotButton="0" quotePrefix="0" xfId="0">
      <alignment horizontal="center" vertical="center" wrapText="1"/>
    </xf>
    <xf numFmtId="0" fontId="0" fillId="28" borderId="0" applyAlignment="1" pivotButton="0" quotePrefix="0" xfId="0">
      <alignment horizontal="general" vertical="bottom"/>
    </xf>
    <xf numFmtId="0" fontId="4" fillId="28" borderId="0" applyAlignment="1" pivotButton="0" quotePrefix="0" xfId="0">
      <alignment horizontal="general" vertical="bottom"/>
    </xf>
    <xf numFmtId="0" fontId="4" fillId="28" borderId="0" applyAlignment="1" pivotButton="0" quotePrefix="0" xfId="0">
      <alignment horizontal="general" vertical="bottom" wrapText="1"/>
    </xf>
    <xf numFmtId="0" fontId="4" fillId="28" borderId="0" applyAlignment="1" pivotButton="0" quotePrefix="0" xfId="0">
      <alignment horizontal="center" vertical="bottom" wrapText="1"/>
    </xf>
    <xf numFmtId="0" fontId="4" fillId="28" borderId="0" applyAlignment="1" pivotButton="0" quotePrefix="0" xfId="0">
      <alignment horizontal="center" vertical="center" wrapText="1"/>
    </xf>
    <xf numFmtId="0" fontId="0" fillId="29" borderId="0" applyAlignment="1" pivotButton="0" quotePrefix="0" xfId="0">
      <alignment horizontal="general" vertical="bottom"/>
    </xf>
    <xf numFmtId="0" fontId="4" fillId="29" borderId="0" applyAlignment="1" pivotButton="0" quotePrefix="0" xfId="0">
      <alignment horizontal="general" vertical="bottom"/>
    </xf>
    <xf numFmtId="0" fontId="4" fillId="29" borderId="0" applyAlignment="1" pivotButton="0" quotePrefix="0" xfId="0">
      <alignment horizontal="center" vertical="bottom"/>
    </xf>
    <xf numFmtId="0" fontId="4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center" vertical="center" wrapText="1"/>
    </xf>
    <xf numFmtId="0" fontId="0" fillId="30" borderId="0" applyAlignment="1" pivotButton="0" quotePrefix="0" xfId="0">
      <alignment horizontal="general" vertical="bottom"/>
    </xf>
    <xf numFmtId="0" fontId="4" fillId="30" borderId="0" applyAlignment="1" pivotButton="0" quotePrefix="0" xfId="0">
      <alignment horizontal="general" vertical="bottom"/>
    </xf>
    <xf numFmtId="0" fontId="4" fillId="30" borderId="0" applyAlignment="1" pivotButton="0" quotePrefix="0" xfId="0">
      <alignment horizontal="center" vertical="bottom"/>
    </xf>
    <xf numFmtId="0" fontId="4" fillId="30" borderId="0" applyAlignment="1" pivotButton="0" quotePrefix="0" xfId="0">
      <alignment horizontal="center" vertical="bottom" wrapText="1"/>
    </xf>
    <xf numFmtId="0" fontId="0" fillId="31" borderId="0" applyAlignment="1" pivotButton="0" quotePrefix="0" xfId="0">
      <alignment horizontal="general" vertical="bottom"/>
    </xf>
    <xf numFmtId="0" fontId="4" fillId="31" borderId="0" applyAlignment="1" pivotButton="0" quotePrefix="0" xfId="0">
      <alignment horizontal="general" vertical="bottom"/>
    </xf>
    <xf numFmtId="0" fontId="4" fillId="31" borderId="0" applyAlignment="1" pivotButton="0" quotePrefix="0" xfId="0">
      <alignment horizontal="center" vertical="bottom"/>
    </xf>
    <xf numFmtId="0" fontId="4" fillId="31" borderId="0" applyAlignment="1" pivotButton="0" quotePrefix="0" xfId="0">
      <alignment horizontal="center" vertical="bottom" wrapText="1"/>
    </xf>
    <xf numFmtId="0" fontId="0" fillId="32" borderId="0" applyAlignment="1" pivotButton="0" quotePrefix="0" xfId="0">
      <alignment horizontal="general" vertical="bottom"/>
    </xf>
    <xf numFmtId="0" fontId="4" fillId="32" borderId="0" applyAlignment="1" pivotButton="0" quotePrefix="0" xfId="0">
      <alignment horizontal="general" vertical="bottom"/>
    </xf>
    <xf numFmtId="0" fontId="4" fillId="32" borderId="0" applyAlignment="1" pivotButton="0" quotePrefix="0" xfId="0">
      <alignment horizontal="general" vertical="bottom" wrapText="1"/>
    </xf>
    <xf numFmtId="0" fontId="4" fillId="8" borderId="0" applyAlignment="1" pivotButton="0" quotePrefix="0" xfId="0">
      <alignment horizontal="center" vertical="bottom"/>
    </xf>
    <xf numFmtId="0" fontId="4" fillId="8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center" vertical="bottom" wrapText="1"/>
    </xf>
    <xf numFmtId="0" fontId="0" fillId="33" borderId="0" applyAlignment="1" pivotButton="0" quotePrefix="0" xfId="0">
      <alignment horizontal="general" vertical="bottom"/>
    </xf>
    <xf numFmtId="0" fontId="4" fillId="33" borderId="0" applyAlignment="1" pivotButton="0" quotePrefix="0" xfId="0">
      <alignment horizontal="general" vertical="bottom"/>
    </xf>
    <xf numFmtId="0" fontId="4" fillId="33" borderId="0" applyAlignment="1" pivotButton="0" quotePrefix="0" xfId="0">
      <alignment horizontal="center" vertical="bottom"/>
    </xf>
    <xf numFmtId="0" fontId="4" fillId="33" borderId="0" applyAlignment="1" pivotButton="0" quotePrefix="0" xfId="0">
      <alignment horizontal="center" vertical="bottom" wrapText="1"/>
    </xf>
    <xf numFmtId="0" fontId="0" fillId="34" borderId="0" applyAlignment="1" pivotButton="0" quotePrefix="0" xfId="0">
      <alignment horizontal="general" vertical="bottom"/>
    </xf>
    <xf numFmtId="0" fontId="4" fillId="34" borderId="0" applyAlignment="1" pivotButton="0" quotePrefix="0" xfId="0">
      <alignment horizontal="general" vertical="bottom"/>
    </xf>
    <xf numFmtId="0" fontId="4" fillId="34" borderId="0" applyAlignment="1" pivotButton="0" quotePrefix="0" xfId="0">
      <alignment horizontal="center" vertical="bottom"/>
    </xf>
    <xf numFmtId="0" fontId="4" fillId="34" borderId="0" applyAlignment="1" pivotButton="0" quotePrefix="0" xfId="0">
      <alignment horizontal="center" vertical="center"/>
    </xf>
    <xf numFmtId="0" fontId="4" fillId="34" borderId="0" applyAlignment="1" pivotButton="0" quotePrefix="0" xfId="0">
      <alignment horizontal="center" vertical="center" wrapText="1"/>
    </xf>
    <xf numFmtId="0" fontId="0" fillId="35" borderId="0" applyAlignment="1" pivotButton="0" quotePrefix="0" xfId="0">
      <alignment horizontal="general" vertical="bottom"/>
    </xf>
    <xf numFmtId="0" fontId="8" fillId="35" borderId="0" applyAlignment="1" pivotButton="0" quotePrefix="0" xfId="0">
      <alignment horizontal="general" vertical="bottom"/>
    </xf>
    <xf numFmtId="0" fontId="8" fillId="35" borderId="0" applyAlignment="1" pivotButton="0" quotePrefix="0" xfId="0">
      <alignment horizontal="center" vertical="bottom"/>
    </xf>
    <xf numFmtId="0" fontId="8" fillId="35" borderId="0" applyAlignment="1" pivotButton="0" quotePrefix="0" xfId="0">
      <alignment horizontal="center" vertical="center"/>
    </xf>
    <xf numFmtId="0" fontId="0" fillId="36" borderId="0" applyAlignment="1" pivotButton="0" quotePrefix="0" xfId="0">
      <alignment horizontal="general" vertical="bottom"/>
    </xf>
    <xf numFmtId="0" fontId="4" fillId="36" borderId="0" applyAlignment="1" pivotButton="0" quotePrefix="0" xfId="0">
      <alignment horizontal="general" vertical="bottom"/>
    </xf>
    <xf numFmtId="0" fontId="4" fillId="36" borderId="0" applyAlignment="1" pivotButton="0" quotePrefix="0" xfId="0">
      <alignment horizontal="general" vertical="bottom" wrapText="1"/>
    </xf>
    <xf numFmtId="0" fontId="4" fillId="36" borderId="0" applyAlignment="1" pivotButton="0" quotePrefix="0" xfId="0">
      <alignment horizontal="center" vertical="bottom" wrapText="1"/>
    </xf>
    <xf numFmtId="0" fontId="4" fillId="36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top" wrapText="1"/>
    </xf>
    <xf numFmtId="0" fontId="8" fillId="32" borderId="0" applyAlignment="1" pivotButton="0" quotePrefix="0" xfId="0">
      <alignment horizontal="general" vertical="bottom"/>
    </xf>
    <xf numFmtId="0" fontId="8" fillId="32" borderId="0" applyAlignment="1" pivotButton="0" quotePrefix="0" xfId="0">
      <alignment horizontal="center" vertical="bottom"/>
    </xf>
    <xf numFmtId="0" fontId="8" fillId="3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bottom" wrapText="1"/>
    </xf>
    <xf numFmtId="0" fontId="0" fillId="37" borderId="0" applyAlignment="1" pivotButton="0" quotePrefix="0" xfId="0">
      <alignment horizontal="general" vertical="bottom" wrapText="1"/>
    </xf>
    <xf numFmtId="0" fontId="4" fillId="37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0" fillId="38" borderId="0" applyAlignment="1" pivotButton="0" quotePrefix="0" xfId="0">
      <alignment horizontal="general" vertical="bottom" wrapText="1"/>
    </xf>
    <xf numFmtId="0" fontId="13" fillId="38" borderId="0" applyAlignment="1" pivotButton="0" quotePrefix="0" xfId="0">
      <alignment horizontal="general" vertical="bottom" wrapText="1"/>
    </xf>
    <xf numFmtId="0" fontId="0" fillId="39" borderId="0" applyAlignment="1" pivotButton="0" quotePrefix="0" xfId="0">
      <alignment horizontal="general" vertical="bottom"/>
    </xf>
    <xf numFmtId="0" fontId="4" fillId="39" borderId="0" applyAlignment="1" pivotButton="0" quotePrefix="0" xfId="0">
      <alignment horizontal="general" vertical="bottom"/>
    </xf>
    <xf numFmtId="0" fontId="4" fillId="39" borderId="0" applyAlignment="1" pivotButton="0" quotePrefix="0" xfId="0">
      <alignment horizontal="general" vertical="bottom" wrapText="1"/>
    </xf>
    <xf numFmtId="0" fontId="0" fillId="40" borderId="0" applyAlignment="1" pivotButton="0" quotePrefix="0" xfId="0">
      <alignment horizontal="general" vertical="bottom"/>
    </xf>
    <xf numFmtId="0" fontId="4" fillId="40" borderId="0" applyAlignment="1" pivotButton="0" quotePrefix="0" xfId="0">
      <alignment horizontal="general" vertical="bottom"/>
    </xf>
    <xf numFmtId="0" fontId="4" fillId="40" borderId="0" applyAlignment="1" pivotButton="0" quotePrefix="0" xfId="0">
      <alignment horizontal="general" vertical="bottom" wrapText="1"/>
    </xf>
    <xf numFmtId="0" fontId="0" fillId="41" borderId="0" applyAlignment="1" pivotButton="0" quotePrefix="0" xfId="0">
      <alignment horizontal="general" vertical="bottom"/>
    </xf>
    <xf numFmtId="0" fontId="4" fillId="41" borderId="0" applyAlignment="1" pivotButton="0" quotePrefix="0" xfId="0">
      <alignment horizontal="general" vertical="bottom"/>
    </xf>
    <xf numFmtId="0" fontId="4" fillId="41" borderId="0" applyAlignment="1" pivotButton="0" quotePrefix="0" xfId="0">
      <alignment horizontal="center" vertical="bottom"/>
    </xf>
    <xf numFmtId="0" fontId="4" fillId="41" borderId="0" applyAlignment="1" pivotButton="0" quotePrefix="0" xfId="0">
      <alignment horizontal="center" vertical="bottom" wrapText="1"/>
    </xf>
    <xf numFmtId="0" fontId="0" fillId="42" borderId="0" applyAlignment="1" pivotButton="0" quotePrefix="0" xfId="0">
      <alignment horizontal="general" vertical="bottom"/>
    </xf>
    <xf numFmtId="0" fontId="4" fillId="42" borderId="0" applyAlignment="1" pivotButton="0" quotePrefix="0" xfId="0">
      <alignment horizontal="general" vertical="bottom"/>
    </xf>
    <xf numFmtId="0" fontId="4" fillId="42" borderId="0" applyAlignment="1" pivotButton="0" quotePrefix="0" xfId="0">
      <alignment horizontal="general" vertical="bottom" wrapText="1"/>
    </xf>
    <xf numFmtId="0" fontId="4" fillId="42" borderId="0" applyAlignment="1" pivotButton="0" quotePrefix="0" xfId="0">
      <alignment horizontal="center" vertical="bottom" wrapText="1"/>
    </xf>
    <xf numFmtId="0" fontId="4" fillId="42" borderId="0" applyAlignment="1" pivotButton="0" quotePrefix="0" xfId="0">
      <alignment horizontal="center" vertical="center" wrapText="1"/>
    </xf>
    <xf numFmtId="0" fontId="0" fillId="43" borderId="0" applyAlignment="1" pivotButton="0" quotePrefix="0" xfId="0">
      <alignment horizontal="general" vertical="bottom"/>
    </xf>
    <xf numFmtId="0" fontId="4" fillId="43" borderId="0" applyAlignment="1" pivotButton="0" quotePrefix="0" xfId="0">
      <alignment horizontal="general" vertical="bottom"/>
    </xf>
    <xf numFmtId="0" fontId="4" fillId="43" borderId="0" applyAlignment="1" pivotButton="0" quotePrefix="0" xfId="0">
      <alignment horizontal="general" vertical="bottom" wrapText="1"/>
    </xf>
    <xf numFmtId="0" fontId="4" fillId="43" borderId="0" applyAlignment="1" pivotButton="0" quotePrefix="0" xfId="0">
      <alignment horizontal="center" vertical="bottom" wrapText="1"/>
    </xf>
    <xf numFmtId="0" fontId="4" fillId="43" borderId="0" applyAlignment="1" pivotButton="0" quotePrefix="0" xfId="0">
      <alignment horizontal="center" vertical="center" wrapText="1"/>
    </xf>
    <xf numFmtId="0" fontId="8" fillId="35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top" wrapText="1"/>
    </xf>
    <xf numFmtId="0" fontId="11" fillId="4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0" borderId="4" pivotButton="0" quotePrefix="0" xfId="7"/>
    <xf numFmtId="0" fontId="12" fillId="42" borderId="0" pivotButton="0" quotePrefix="0" xfId="0"/>
    <xf numFmtId="0" fontId="12" fillId="42" borderId="0" applyAlignment="1" pivotButton="0" quotePrefix="0" xfId="0">
      <alignment horizontal="center"/>
    </xf>
    <xf numFmtId="0" fontId="15" fillId="45" borderId="0" pivotButton="0" quotePrefix="0" xfId="0"/>
  </cellXfs>
  <cellStyles count="8">
    <cellStyle name="Normal" xfId="0"/>
    <cellStyle name="Comma" xfId="1"/>
    <cellStyle name="Comma [0]" xfId="2"/>
    <cellStyle name="Currency" xfId="3"/>
    <cellStyle name="Currency [0]" xfId="4"/>
    <cellStyle name="Percent" xfId="5"/>
    <cellStyle name="*unknown*" xfId="6"/>
    <cellStyle name="Hyperlink" xfId="7" builtinId="8" hidden="0"/>
  </cellStyles>
  <dxfs count="8">
    <dxf>
      <fill>
        <patternFill>
          <bgColor rgb="FF000000"/>
        </patternFill>
      </fill>
    </dxf>
    <dxf>
      <fill>
        <patternFill>
          <bgColor rgb="FF111111"/>
        </patternFill>
      </fill>
    </dxf>
    <dxf>
      <fill>
        <patternFill>
          <bgColor rgb="FFFFFFFF"/>
        </patternFill>
      </fill>
    </dxf>
    <dxf>
      <fill>
        <patternFill>
          <bgColor rgb="00DCFCE7"/>
        </patternFill>
      </fill>
    </dxf>
    <dxf>
      <fill>
        <patternFill>
          <bgColor rgb="00FEF3C7"/>
        </patternFill>
      </fill>
    </dxf>
    <dxf>
      <fill>
        <patternFill>
          <bgColor rgb="00FEE2E2"/>
        </patternFill>
      </fill>
    </dxf>
    <dxf>
      <font>
        <color rgb="00166534"/>
      </font>
      <fill>
        <patternFill>
          <bgColor rgb="00DCFCE7"/>
        </patternFill>
      </fill>
    </dxf>
    <dxf>
      <font>
        <color rgb="0092400E"/>
      </font>
      <fill>
        <patternFill>
          <bgColor rgb="00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ables/table1.xml><?xml version="1.0" encoding="utf-8"?>
<table xmlns="http://schemas.openxmlformats.org/spreadsheetml/2006/main" id="1" name="PolicyDisclosuresTable" displayName="PolicyDisclosuresTable" ref="A1:H51" headerRowCount="1">
  <tableColumns count="8">
    <tableColumn id="1" name="State"/>
    <tableColumn id="2" name="Disclosure Required"/>
    <tableColumn id="3" name="Requestor"/>
    <tableColumn id="4" name="Deadline"/>
    <tableColumn id="5" name="Required Information"/>
    <tableColumn id="6" name="Statute Citation"/>
    <tableColumn id="7" name="Statute URL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sNotesTable" displayName="SourcesNotesTable" ref="A1:D6" headerRowCount="1">
  <tableColumns count="4">
    <tableColumn id="1" name="Category"/>
    <tableColumn id="2" name="Source / Item"/>
    <tableColumn id="3" name="URL"/>
    <tableColumn id="4" name="Notes"/>
  </tableColumns>
  <tableStyleInfo name="TableStyleMedium2" showRowStripes="1"/>
</table>
</file>

<file path=xl/tables/table3.xml><?xml version="1.0" encoding="utf-8"?>
<table xmlns="http://schemas.openxmlformats.org/spreadsheetml/2006/main" id="3" name="UMUIMRulesPhaseU1" displayName="UMUIMRulesPhaseU1" ref="A4:J14" headerRowCount="1">
  <tableColumns count="10">
    <tableColumn id="1" name="State"/>
    <tableColumn id="2" name="UM Required"/>
    <tableColumn id="3" name="UIM Required"/>
    <tableColumn id="4" name="Rejection Allowed"/>
    <tableColumn id="5" name="Written Rejection Required"/>
    <tableColumn id="6" name="Default Limit"/>
    <tableColumn id="7" name="Stacking Allowed"/>
    <tableColumn id="8" name="Citation"/>
    <tableColumn id="9" name="URL"/>
    <tableColumn id="10" name="Notes"/>
  </tableColumns>
  <tableStyleInfo name="TableStyleMedium2" showRowStripes="1"/>
</table>
</file>

<file path=xl/tables/table4.xml><?xml version="1.0" encoding="utf-8"?>
<table xmlns="http://schemas.openxmlformats.org/spreadsheetml/2006/main" id="4" name="BadFaithTable" displayName="BadFaithTable" ref="A1:H11" headerRowCount="1">
  <tableColumns count="8">
    <tableColumn id="1" name="State"/>
    <tableColumn id="2" name="Recognized"/>
    <tableColumn id="3" name="First Party"/>
    <tableColumn id="4" name="Third Party"/>
    <tableColumn id="5" name="Statutory Cause of Action"/>
    <tableColumn id="6" name="Citation"/>
    <tableColumn id="7" name="URL"/>
    <tableColumn id="8" name="Notes"/>
  </tableColumns>
  <tableStyleInfo name="TableStyleMedium2" showRowStripes="1"/>
</table>
</file>

<file path=xl/tables/table5.xml><?xml version="1.0" encoding="utf-8"?>
<table xmlns="http://schemas.openxmlformats.org/spreadsheetml/2006/main" id="5" name="ClaimsC7WebsiteReady" displayName="ClaimsC7WebsiteReady" ref="A1:G51" headerRowCount="1">
  <tableColumns count="7">
    <tableColumn id="1" name="State"/>
    <tableColumn id="2" name="Acknowledgment Deadline"/>
    <tableColumn id="3" name="Investigation Deadline"/>
    <tableColumn id="4" name="Payment Deadline"/>
    <tableColumn id="5" name="Citation"/>
    <tableColumn id="6" name="URL"/>
    <tableColumn id="7" name="Notes"/>
  </tableColumns>
  <tableStyleInfo name="TableStyleMedium2" showRowStripes="1"/>
</table>
</file>

<file path=xl/tables/table6.xml><?xml version="1.0" encoding="utf-8"?>
<table xmlns="http://schemas.openxmlformats.org/spreadsheetml/2006/main" id="6" name="ClaimsC7ConsistencyAudit" displayName="ClaimsC7ConsistencyAudit" ref="A1:C51" headerRowCount="1">
  <tableColumns count="3">
    <tableColumn id="1" name="State"/>
    <tableColumn id="2" name="C7 Status"/>
    <tableColumn id="3" name="Normalization Notes"/>
  </tableColumns>
  <tableStyleInfo name="TableStyleMedium2" showRowStripes="1"/>
</table>
</file>

<file path=xl/tables/table7.xml><?xml version="1.0" encoding="utf-8"?>
<table xmlns="http://schemas.openxmlformats.org/spreadsheetml/2006/main" id="7" name="ClaimsDeadlinesWebsiteTable" displayName="ClaimsDeadlinesWebsiteTable" ref="A1:G51" headerRowCount="1">
  <tableColumns count="7">
    <tableColumn id="1" name="State"/>
    <tableColumn id="2" name="Ack Deadline"/>
    <tableColumn id="3" name="Investigation Deadline"/>
    <tableColumn id="4" name="Payment Deadline"/>
    <tableColumn id="5" name="Notes"/>
    <tableColumn id="6" name="Citation"/>
    <tableColumn id="7" name="URL"/>
  </tableColumns>
  <tableStyleInfo name="TableStyleMedium2" showRowStripes="1"/>
</table>
</file>

<file path=xl/tables/table8.xml><?xml version="1.0" encoding="utf-8"?>
<table xmlns="http://schemas.openxmlformats.org/spreadsheetml/2006/main" id="8" name="ClaimsDeadlinesReleaseAuditTable" displayName="ClaimsDeadlinesReleaseAuditTable" ref="A1:F51" headerRowCount="1">
  <tableColumns count="6">
    <tableColumn id="1" name="State"/>
    <tableColumn id="2" name="Data Complete"/>
    <tableColumn id="3" name="Citation Present"/>
    <tableColumn id="4" name="URL Present"/>
    <tableColumn id="5" name="Website Ready"/>
    <tableColumn id="6" name="Notes"/>
  </tableColumns>
  <tableStyleInfo name="TableStyleMedium2" showRowStripes="1"/>
</table>
</file>

<file path=xl/tables/table9.xml><?xml version="1.0" encoding="utf-8"?>
<table xmlns="http://schemas.openxmlformats.org/spreadsheetml/2006/main" id="9" name="SourceIndexTable" displayName="SourceIndexTable" ref="A1:I289" headerRowCount="1">
  <tableColumns count="9">
    <tableColumn id="1" name="State"/>
    <tableColumn id="2" name="Dataset"/>
    <tableColumn id="3" name="Authority Type"/>
    <tableColumn id="4" name="Citation"/>
    <tableColumn id="5" name="URL"/>
    <tableColumn id="6" name="Last Verified"/>
    <tableColumn id="7" name="Next Review"/>
    <tableColumn id="8" name="Verification Status"/>
    <tableColumn id="9" name="Notes"/>
  </tableColumns>
  <tableStyleInfo name="TableStyleMedium2" showRowStripes="1"/>
</table>
</file>

<file path=xl/tables/table10.xml><?xml version="1.0" encoding="utf-8"?>
<table xmlns="http://schemas.openxmlformats.org/spreadsheetml/2006/main" id="10" name="D3CrossSheetValidationTable" displayName="D3CrossSheetValidationTable" ref="A1:G8" headerRowCount="1">
  <tableColumns count="7">
    <tableColumn id="1" name="Sheet"/>
    <tableColumn id="2" name="Scope"/>
    <tableColumn id="3" name="State Rows"/>
    <tableColumn id="4" name="Unique States"/>
    <tableColumn id="5" name="Missing States"/>
    <tableColumn id="6" name="Duplicate States"/>
    <tableColumn id="7" name="Status"/>
  </tableColumns>
  <tableStyleInfo name="TableStyleMedium2" showRowStripes="1"/>
</table>
</file>

<file path=xl/tables/table11.xml><?xml version="1.0" encoding="utf-8"?>
<table xmlns="http://schemas.openxmlformats.org/spreadsheetml/2006/main" id="11" name="D3URLAuditTable" displayName="D3URLAuditTable" ref="A1:F289" headerRowCount="1">
  <tableColumns count="6">
    <tableColumn id="1" name="State"/>
    <tableColumn id="2" name="Dataset"/>
    <tableColumn id="3" name="Citation"/>
    <tableColumn id="4" name="URL"/>
    <tableColumn id="5" name="URL Status"/>
    <tableColumn id="6" name="Priority"/>
  </tableColumns>
  <tableStyleInfo name="TableStyleMedium2" showRowStripes="1"/>
</table>
</file>

<file path=xl/tables/table12.xml><?xml version="1.0" encoding="utf-8"?>
<table xmlns="http://schemas.openxmlformats.org/spreadsheetml/2006/main" id="12" name="D3MaintenanceTable" displayName="D3MaintenanceTable" ref="A1:I7" headerRowCount="1">
  <tableColumns count="9">
    <tableColumn id="1" name="Dataset"/>
    <tableColumn id="2" name="Source Count"/>
    <tableColumn id="3" name="Official/Gov Source Count"/>
    <tableColumn id="4" name="Secondary Source Count"/>
    <tableColumn id="5" name="Verify Source Type Count"/>
    <tableColumn id="6" name="Last Verified"/>
    <tableColumn id="7" name="Next Review"/>
    <tableColumn id="8" name="Review Cadence"/>
    <tableColumn id="9" name="Status"/>
  </tableColumns>
  <tableStyleInfo name="TableStyleMedium2" showRowStripes="1"/>
</table>
</file>

<file path=xl/tables/table13.xml><?xml version="1.0" encoding="utf-8"?>
<table xmlns="http://schemas.openxmlformats.org/spreadsheetml/2006/main" id="13" name="D4ReleaseReadinessTable" displayName="D4ReleaseReadinessTable" ref="A2:G12" headerRowCount="1">
  <tableColumns count="7">
    <tableColumn id="1" name="Area"/>
    <tableColumn id="2" name="Check"/>
    <tableColumn id="3" name="Status"/>
    <tableColumn id="4" name="Evidence / Formula"/>
    <tableColumn id="5" name="Expected"/>
    <tableColumn id="6" name="Result"/>
    <tableColumn id="7" name="Notes"/>
  </tableColumns>
  <tableStyleInfo name="TableStyleMedium2" showRowStripes="1"/>
</table>
</file>

<file path=xl/tables/table14.xml><?xml version="1.0" encoding="utf-8"?>
<table xmlns="http://schemas.openxmlformats.org/spreadsheetml/2006/main" id="14" name="D4DeploymentManifestTable" displayName="D4DeploymentManifestTable" ref="A2:E7" headerRowCount="1">
  <tableColumns count="5">
    <tableColumn id="1" name="File"/>
    <tableColumn id="2" name="Included in ZIP"/>
    <tableColumn id="3" name="Purpose"/>
    <tableColumn id="4" name="Source / Build Rule"/>
    <tableColumn id="5" name="Notes"/>
  </tableColumns>
  <tableStyleInfo name="TableStyleMedium2" showRowStripes="1"/>
</table>
</file>

<file path=xl/tables/table15.xml><?xml version="1.0" encoding="utf-8"?>
<table xmlns="http://schemas.openxmlformats.org/spreadsheetml/2006/main" id="15" name="D4AnnualUpdateQueueTable" displayName="D4AnnualUpdateQueueTable" ref="A2:I10" headerRowCount="1">
  <tableColumns count="9">
    <tableColumn id="1" name="Dataset"/>
    <tableColumn id="2" name="Scope"/>
    <tableColumn id="3" name="Review Cadence"/>
    <tableColumn id="4" name="Last Verified"/>
    <tableColumn id="5" name="Next Review"/>
    <tableColumn id="6" name="Authority Priority"/>
    <tableColumn id="7" name="Risk Level"/>
    <tableColumn id="8" name="Owner / Assignment"/>
    <tableColumn id="9" name="Notes"/>
  </tableColumns>
  <tableStyleInfo name="TableStyleMedium2" showRowStripes="1"/>
</table>
</file>

<file path=xl/tables/table16.xml><?xml version="1.0" encoding="utf-8"?>
<table xmlns="http://schemas.openxmlformats.org/spreadsheetml/2006/main" id="16" name="D4SummaryTable" displayName="D4SummaryTable" ref="A2:B11" headerRowCount="1"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revenue.alabama.gov/tax-types/mandatory-liability-insurance/" TargetMode="External" Id="rId1"/><Relationship Type="http://schemas.openxmlformats.org/officeDocument/2006/relationships/hyperlink" Target="https://www.revenue.alabama.gov/tax-types/mandatory-liability-insurance/" TargetMode="External" Id="rId2"/><Relationship Type="http://schemas.openxmlformats.org/officeDocument/2006/relationships/hyperlink" Target="https://www.revenue.alabama.gov/tax-types/mandatory-liability-insurance/" TargetMode="External" Id="rId3"/><Relationship Type="http://schemas.openxmlformats.org/officeDocument/2006/relationships/hyperlink" Target="https://alison.legislature.state.al.us/code-of-alabama?section=32-7-23" TargetMode="External" Id="rId4"/><Relationship Type="http://schemas.openxmlformats.org/officeDocument/2006/relationships/hyperlink" Target="https://alison.legislature.state.al.us/code-of-alabama?section=6-2-38%2F" TargetMode="External" Id="rId5"/><Relationship Type="http://schemas.openxmlformats.org/officeDocument/2006/relationships/hyperlink" Target="https://alison.legislature.state.al.us/code-of-alabama?section=6-2-38%2F" TargetMode="External" Id="rId6"/><Relationship Type="http://schemas.openxmlformats.org/officeDocument/2006/relationships/hyperlink" Target="https://dmv.alaska.gov/driver-services-adjudication/mandatory-insurance/" TargetMode="External" Id="rId7"/><Relationship Type="http://schemas.openxmlformats.org/officeDocument/2006/relationships/hyperlink" Target="https://dmv.alaska.gov/driver-services-adjudication/mandatory-insurance/" TargetMode="External" Id="rId8"/><Relationship Type="http://schemas.openxmlformats.org/officeDocument/2006/relationships/hyperlink" Target="https://dmv.alaska.gov/driver-services-adjudication/mandatory-insurance/" TargetMode="External" Id="rId9"/><Relationship Type="http://schemas.openxmlformats.org/officeDocument/2006/relationships/hyperlink" Target="https://www.akleg.gov/statutesPDF/Title-28.pdf" TargetMode="External" Id="rId10"/><Relationship Type="http://schemas.openxmlformats.org/officeDocument/2006/relationships/hyperlink" Target="https://www.akleg.gov/basis/statutes.asp?title=9" TargetMode="External" Id="rId11"/><Relationship Type="http://schemas.openxmlformats.org/officeDocument/2006/relationships/hyperlink" Target="https://www.akleg.gov/basis/statutes.asp?title=9" TargetMode="External" Id="rId12"/><Relationship Type="http://schemas.openxmlformats.org/officeDocument/2006/relationships/hyperlink" Target="https://www.azleg.gov/ars/28/04009.htm" TargetMode="External" Id="rId13"/><Relationship Type="http://schemas.openxmlformats.org/officeDocument/2006/relationships/hyperlink" Target="https://www.azleg.gov/ars/28/04009.htm" TargetMode="External" Id="rId14"/><Relationship Type="http://schemas.openxmlformats.org/officeDocument/2006/relationships/hyperlink" Target="https://www.azleg.gov/ars/28/04009.htm" TargetMode="External" Id="rId15"/><Relationship Type="http://schemas.openxmlformats.org/officeDocument/2006/relationships/hyperlink" Target="https://www.azleg.gov/ars/20/00259-01.htm" TargetMode="External" Id="rId16"/><Relationship Type="http://schemas.openxmlformats.org/officeDocument/2006/relationships/hyperlink" Target="https://www.azleg.gov/ars/12/00542.htm" TargetMode="External" Id="rId17"/><Relationship Type="http://schemas.openxmlformats.org/officeDocument/2006/relationships/hyperlink" Target="https://www.azleg.gov/ars/12/00542.htm" TargetMode="External" Id="rId18"/><Relationship Type="http://schemas.openxmlformats.org/officeDocument/2006/relationships/hyperlink" Target="https://www.arkleg.state.ar.us/ArkansasLaw" TargetMode="External" Id="rId19"/><Relationship Type="http://schemas.openxmlformats.org/officeDocument/2006/relationships/hyperlink" Target="https://www.arkleg.state.ar.us/ArkansasLaw" TargetMode="External" Id="rId20"/><Relationship Type="http://schemas.openxmlformats.org/officeDocument/2006/relationships/hyperlink" Target="https://www.dfa.arkansas.gov/driver-services/frequently-asked-questions/insurance-verification-and-notification/" TargetMode="External" Id="rId21"/><Relationship Type="http://schemas.openxmlformats.org/officeDocument/2006/relationships/hyperlink" Target="https://www.arkleg.state.ar.us/ArkansasLaw" TargetMode="External" Id="rId22"/><Relationship Type="http://schemas.openxmlformats.org/officeDocument/2006/relationships/hyperlink" Target="https://www.arkleg.state.ar.us/ArkansasLaw" TargetMode="External" Id="rId23"/><Relationship Type="http://schemas.openxmlformats.org/officeDocument/2006/relationships/hyperlink" Target="https://www.arkleg.state.ar.us/ArkansasLaw" TargetMode="External" Id="rId24"/><Relationship Type="http://schemas.openxmlformats.org/officeDocument/2006/relationships/hyperlink" Target="https://leginfo.legislature.ca.gov/faces/codes_displaySection.xhtml?sectionNum=16056.&amp;lawCode=VEH" TargetMode="External" Id="rId25"/><Relationship Type="http://schemas.openxmlformats.org/officeDocument/2006/relationships/hyperlink" Target="https://leginfo.legislature.ca.gov/faces/codes_displaySection.xhtml?sectionNum=16056.&amp;lawCode=VEH" TargetMode="External" Id="rId26"/><Relationship Type="http://schemas.openxmlformats.org/officeDocument/2006/relationships/hyperlink" Target="https://leginfo.legislature.ca.gov/faces/codes_displaySection.xhtml?sectionNum=16056.&amp;lawCode=VEH" TargetMode="External" Id="rId27"/><Relationship Type="http://schemas.openxmlformats.org/officeDocument/2006/relationships/hyperlink" Target="https://leginfo.legislature.ca.gov/faces/codes_displaySection.xhtml?sectionNum=11580.2.&amp;lawCode=INS" TargetMode="External" Id="rId28"/><Relationship Type="http://schemas.openxmlformats.org/officeDocument/2006/relationships/hyperlink" Target="https://leginfo.legislature.ca.gov/faces/codes_displaySection.xhtml?sectionNum=335.1.&amp;lawCode=CCP" TargetMode="External" Id="rId29"/><Relationship Type="http://schemas.openxmlformats.org/officeDocument/2006/relationships/hyperlink" Target="https://leginfo.legislature.ca.gov/faces/codes_displaySection.xhtml?sectionNum=338.&amp;lawCode=CCP" TargetMode="External" Id="rId30"/><Relationship Type="http://schemas.openxmlformats.org/officeDocument/2006/relationships/hyperlink" Target="https://leg.colorado.gov/colorado-revised-statutes" TargetMode="External" Id="rId31"/><Relationship Type="http://schemas.openxmlformats.org/officeDocument/2006/relationships/hyperlink" Target="https://leg.colorado.gov/colorado-revised-statutes" TargetMode="External" Id="rId32"/><Relationship Type="http://schemas.openxmlformats.org/officeDocument/2006/relationships/hyperlink" Target="https://doi.colorado.gov/for-consumers/auto-insurance" TargetMode="External" Id="rId33"/><Relationship Type="http://schemas.openxmlformats.org/officeDocument/2006/relationships/hyperlink" Target="https://leg.colorado.gov/colorado-revised-statutes" TargetMode="External" Id="rId34"/><Relationship Type="http://schemas.openxmlformats.org/officeDocument/2006/relationships/hyperlink" Target="https://leg.colorado.gov/colorado-revised-statutes" TargetMode="External" Id="rId35"/><Relationship Type="http://schemas.openxmlformats.org/officeDocument/2006/relationships/hyperlink" Target="https://leg.colorado.gov/colorado-revised-statutes" TargetMode="External" Id="rId36"/><Relationship Type="http://schemas.openxmlformats.org/officeDocument/2006/relationships/hyperlink" Target="https://www.cga.ct.gov/current/pub/chap_246.htm" TargetMode="External" Id="rId37"/><Relationship Type="http://schemas.openxmlformats.org/officeDocument/2006/relationships/hyperlink" Target="https://www.cga.ct.gov/current/pub/chap_246.htm" TargetMode="External" Id="rId38"/><Relationship Type="http://schemas.openxmlformats.org/officeDocument/2006/relationships/hyperlink" Target="https://www.cga.ct.gov/current/pub/chap_246.htm" TargetMode="External" Id="rId39"/><Relationship Type="http://schemas.openxmlformats.org/officeDocument/2006/relationships/hyperlink" Target="https://www.cga.ct.gov/current/pub/chap_700.htm" TargetMode="External" Id="rId40"/><Relationship Type="http://schemas.openxmlformats.org/officeDocument/2006/relationships/hyperlink" Target="https://www.cga.ct.gov/current/pub/chap_926.htm" TargetMode="External" Id="rId41"/><Relationship Type="http://schemas.openxmlformats.org/officeDocument/2006/relationships/hyperlink" Target="https://www.cga.ct.gov/current/pub/chap_926.htm" TargetMode="External" Id="rId42"/><Relationship Type="http://schemas.openxmlformats.org/officeDocument/2006/relationships/hyperlink" Target="https://delcode.delaware.gov/title21/c029/index.html" TargetMode="External" Id="rId43"/><Relationship Type="http://schemas.openxmlformats.org/officeDocument/2006/relationships/hyperlink" Target="https://delcode.delaware.gov/title21/c029/index.html" TargetMode="External" Id="rId44"/><Relationship Type="http://schemas.openxmlformats.org/officeDocument/2006/relationships/hyperlink" Target="https://delcode.delaware.gov/title21/c021/sc01/" TargetMode="External" Id="rId45"/><Relationship Type="http://schemas.openxmlformats.org/officeDocument/2006/relationships/hyperlink" Target="https://delcode.delaware.gov/title18/c039/index.html" TargetMode="External" Id="rId46"/><Relationship Type="http://schemas.openxmlformats.org/officeDocument/2006/relationships/hyperlink" Target="https://delcode.delaware.gov/title10/c081/index.html" TargetMode="External" Id="rId47"/><Relationship Type="http://schemas.openxmlformats.org/officeDocument/2006/relationships/hyperlink" Target="https://delcode.delaware.gov/title10/c081/index.html" TargetMode="External" Id="rId48"/><Relationship Type="http://schemas.openxmlformats.org/officeDocument/2006/relationships/hyperlink" Target="https://www.flhsmv.gov/insurance/" TargetMode="External" Id="rId49"/><Relationship Type="http://schemas.openxmlformats.org/officeDocument/2006/relationships/hyperlink" Target="https://www.flhsmv.gov/insurance/" TargetMode="External" Id="rId50"/><Relationship Type="http://schemas.openxmlformats.org/officeDocument/2006/relationships/hyperlink" Target="https://www.flhsmv.gov/insurance/" TargetMode="External" Id="rId51"/><Relationship Type="http://schemas.openxmlformats.org/officeDocument/2006/relationships/hyperlink" Target="https://www.flsenate.gov/Laws/Statutes/2023/627.727" TargetMode="External" Id="rId52"/><Relationship Type="http://schemas.openxmlformats.org/officeDocument/2006/relationships/hyperlink" Target="https://www.flsenate.gov/Laws/Statutes/2023/95.11" TargetMode="External" Id="rId53"/><Relationship Type="http://schemas.openxmlformats.org/officeDocument/2006/relationships/hyperlink" Target="https://www.flsenate.gov/Laws/Statutes/2023/95.11" TargetMode="External" Id="rId54"/><Relationship Type="http://schemas.openxmlformats.org/officeDocument/2006/relationships/hyperlink" Target="https://oci.georgia.gov/insurance-resources/auto" TargetMode="External" Id="rId55"/><Relationship Type="http://schemas.openxmlformats.org/officeDocument/2006/relationships/hyperlink" Target="https://oci.georgia.gov/insurance-resources/auto" TargetMode="External" Id="rId56"/><Relationship Type="http://schemas.openxmlformats.org/officeDocument/2006/relationships/hyperlink" Target="https://oci.georgia.gov/insurance-resources/auto" TargetMode="External" Id="rId57"/><Relationship Type="http://schemas.openxmlformats.org/officeDocument/2006/relationships/hyperlink" Target="https://oci.georgia.gov/insurance-resources/auto" TargetMode="External" Id="rId58"/><Relationship Type="http://schemas.openxmlformats.org/officeDocument/2006/relationships/hyperlink" Target="https://law.georgia.gov/georgia-code" TargetMode="External" Id="rId59"/><Relationship Type="http://schemas.openxmlformats.org/officeDocument/2006/relationships/hyperlink" Target="https://law.georgia.gov/georgia-code" TargetMode="External" Id="rId60"/><Relationship Type="http://schemas.openxmlformats.org/officeDocument/2006/relationships/hyperlink" Target="https://cca.hawaii.gov/wp-content/uploads/2026/01/Auto-Minimum-Limits-FAQs.pdf" TargetMode="External" Id="rId61"/><Relationship Type="http://schemas.openxmlformats.org/officeDocument/2006/relationships/hyperlink" Target="https://cca.hawaii.gov/wp-content/uploads/2026/01/Auto-Minimum-Limits-FAQs.pdf" TargetMode="External" Id="rId62"/><Relationship Type="http://schemas.openxmlformats.org/officeDocument/2006/relationships/hyperlink" Target="https://cca.hawaii.gov/wp-content/uploads/2026/01/Auto-Minimum-Limits-FAQs.pdf" TargetMode="External" Id="rId63"/><Relationship Type="http://schemas.openxmlformats.org/officeDocument/2006/relationships/hyperlink" Target="https://www.capitol.hawaii.gov/hrscurrent/Vol09_Ch0431-0435H/HRS0431/HRS_0431-0010C-0301.htm" TargetMode="External" Id="rId64"/><Relationship Type="http://schemas.openxmlformats.org/officeDocument/2006/relationships/hyperlink" Target="https://www.capitol.hawaii.gov/hrscurrent/Vol13_Ch0601-0676/HRS0657/HRS_0657-0007.htm" TargetMode="External" Id="rId65"/><Relationship Type="http://schemas.openxmlformats.org/officeDocument/2006/relationships/hyperlink" Target="https://www.capitol.hawaii.gov/hrscurrent/Vol13_Ch0601-0676/HRS0657/HRS_0657-0007.htm" TargetMode="External" Id="rId66"/><Relationship Type="http://schemas.openxmlformats.org/officeDocument/2006/relationships/hyperlink" Target="https://doi.idaho.gov/consumers/auto-insurance/required-auto-coverage/" TargetMode="External" Id="rId67"/><Relationship Type="http://schemas.openxmlformats.org/officeDocument/2006/relationships/hyperlink" Target="https://doi.idaho.gov/consumers/auto-insurance/required-auto-coverage/" TargetMode="External" Id="rId68"/><Relationship Type="http://schemas.openxmlformats.org/officeDocument/2006/relationships/hyperlink" Target="https://doi.idaho.gov/consumers/auto-insurance/required-auto-coverage/" TargetMode="External" Id="rId69"/><Relationship Type="http://schemas.openxmlformats.org/officeDocument/2006/relationships/hyperlink" Target="https://legislature.idaho.gov/statutesrules/idstat/title41/t41ch25/sect41-2502/" TargetMode="External" Id="rId70"/><Relationship Type="http://schemas.openxmlformats.org/officeDocument/2006/relationships/hyperlink" Target="https://legislature.idaho.gov/statutesrules/idstat/title5/t5ch2/sect5-219/" TargetMode="External" Id="rId71"/><Relationship Type="http://schemas.openxmlformats.org/officeDocument/2006/relationships/hyperlink" Target="https://legislature.idaho.gov/statutesrules/idstat/title5/t5ch2/sect5-218/" TargetMode="External" Id="rId72"/><Relationship Type="http://schemas.openxmlformats.org/officeDocument/2006/relationships/hyperlink" Target="https://idoi.illinois.gov/consumers/consumerinsurance/auto-insurance-shopping-guide.html" TargetMode="External" Id="rId73"/><Relationship Type="http://schemas.openxmlformats.org/officeDocument/2006/relationships/hyperlink" Target="https://idoi.illinois.gov/consumers/consumerinsurance/auto-insurance-shopping-guide.html" TargetMode="External" Id="rId74"/><Relationship Type="http://schemas.openxmlformats.org/officeDocument/2006/relationships/hyperlink" Target="https://idoi.illinois.gov/consumers/consumerinsurance/auto-insurance-shopping-guide.html" TargetMode="External" Id="rId75"/><Relationship Type="http://schemas.openxmlformats.org/officeDocument/2006/relationships/hyperlink" Target="https://www.ilga.gov/legislation/ilcs/fulltext.asp?DocName=021500050K143a" TargetMode="External" Id="rId76"/><Relationship Type="http://schemas.openxmlformats.org/officeDocument/2006/relationships/hyperlink" Target="https://www.ilga.gov/legislation/ilcs/fulltext.asp?DocName=073500050K13-202" TargetMode="External" Id="rId77"/><Relationship Type="http://schemas.openxmlformats.org/officeDocument/2006/relationships/hyperlink" Target="https://www.ilga.gov/legislation/ilcs/fulltext.asp?DocName=073500050K13-205" TargetMode="External" Id="rId78"/><Relationship Type="http://schemas.openxmlformats.org/officeDocument/2006/relationships/hyperlink" Target="https://iga.in.gov/laws/2024/ic/titles/9" TargetMode="External" Id="rId79"/><Relationship Type="http://schemas.openxmlformats.org/officeDocument/2006/relationships/hyperlink" Target="https://iga.in.gov/laws/2024/ic/titles/9" TargetMode="External" Id="rId80"/><Relationship Type="http://schemas.openxmlformats.org/officeDocument/2006/relationships/hyperlink" Target="https://iga.in.gov/laws/2024/ic/titles/9" TargetMode="External" Id="rId81"/><Relationship Type="http://schemas.openxmlformats.org/officeDocument/2006/relationships/hyperlink" Target="https://iga.in.gov/laws/2024/ic/titles/27" TargetMode="External" Id="rId82"/><Relationship Type="http://schemas.openxmlformats.org/officeDocument/2006/relationships/hyperlink" Target="https://iga.in.gov/laws/2024/ic/titles/34" TargetMode="External" Id="rId83"/><Relationship Type="http://schemas.openxmlformats.org/officeDocument/2006/relationships/hyperlink" Target="https://iga.in.gov/laws/2024/ic/titles/34" TargetMode="External" Id="rId84"/><Relationship Type="http://schemas.openxmlformats.org/officeDocument/2006/relationships/hyperlink" Target="https://www.legis.iowa.gov/docs/code/321A.1.pdf" TargetMode="External" Id="rId85"/><Relationship Type="http://schemas.openxmlformats.org/officeDocument/2006/relationships/hyperlink" Target="https://www.legis.iowa.gov/docs/code/321A.1.pdf" TargetMode="External" Id="rId86"/><Relationship Type="http://schemas.openxmlformats.org/officeDocument/2006/relationships/hyperlink" Target="https://www.legis.iowa.gov/docs/code/321A.1.pdf" TargetMode="External" Id="rId87"/><Relationship Type="http://schemas.openxmlformats.org/officeDocument/2006/relationships/hyperlink" Target="https://www.legis.iowa.gov/docs/code/516A.1.pdf" TargetMode="External" Id="rId88"/><Relationship Type="http://schemas.openxmlformats.org/officeDocument/2006/relationships/hyperlink" Target="https://www.legis.iowa.gov/docs/code/614.1.pdf" TargetMode="External" Id="rId89"/><Relationship Type="http://schemas.openxmlformats.org/officeDocument/2006/relationships/hyperlink" Target="https://www.legis.iowa.gov/law/iowaCode/sections?codeChapter=614&amp;year=2026" TargetMode="External" Id="rId90"/><Relationship Type="http://schemas.openxmlformats.org/officeDocument/2006/relationships/hyperlink" Target="https://www.ksrevisor.org/statutes/chapters/ch40/040_031_0007.html" TargetMode="External" Id="rId91"/><Relationship Type="http://schemas.openxmlformats.org/officeDocument/2006/relationships/hyperlink" Target="https://www.ksrevisor.org/statutes/chapters/ch40/040_031_0007.html" TargetMode="External" Id="rId92"/><Relationship Type="http://schemas.openxmlformats.org/officeDocument/2006/relationships/hyperlink" Target="https://www.ksrevisor.org/statutes/chapters/ch40/040_031_0003.html" TargetMode="External" Id="rId93"/><Relationship Type="http://schemas.openxmlformats.org/officeDocument/2006/relationships/hyperlink" Target="https://www.ksrevisor.org/statutes/chapters/ch40/040_002_0084.html" TargetMode="External" Id="rId94"/><Relationship Type="http://schemas.openxmlformats.org/officeDocument/2006/relationships/hyperlink" Target="https://www.ksrevisor.org/statutes/chapters/ch60/060_005_0013.html" TargetMode="External" Id="rId95"/><Relationship Type="http://schemas.openxmlformats.org/officeDocument/2006/relationships/hyperlink" Target="https://www.ksrevisor.org/statutes/chapters/ch60/060_005_0013.html" TargetMode="External" Id="rId96"/><Relationship Type="http://schemas.openxmlformats.org/officeDocument/2006/relationships/hyperlink" Target="https://apps.legislature.ky.gov/law/statutes/statute.aspx?id=46758" TargetMode="External" Id="rId97"/><Relationship Type="http://schemas.openxmlformats.org/officeDocument/2006/relationships/hyperlink" Target="https://apps.legislature.ky.gov/law/statutes/statute.aspx?id=46758" TargetMode="External" Id="rId98"/><Relationship Type="http://schemas.openxmlformats.org/officeDocument/2006/relationships/hyperlink" Target="https://apps.legislature.ky.gov/law/statutes/statute.aspx?id=46753" TargetMode="External" Id="rId99"/><Relationship Type="http://schemas.openxmlformats.org/officeDocument/2006/relationships/hyperlink" Target="https://apps.legislature.ky.gov/law/statutes/statute.aspx?id=46724" TargetMode="External" Id="rId100"/><Relationship Type="http://schemas.openxmlformats.org/officeDocument/2006/relationships/hyperlink" Target="https://apps.legislature.ky.gov/law/statutes/statute.aspx?id=52947" TargetMode="External" Id="rId101"/><Relationship Type="http://schemas.openxmlformats.org/officeDocument/2006/relationships/hyperlink" Target="https://apps.legislature.ky.gov/law/statutes/statute.aspx?id=37402" TargetMode="External" Id="rId102"/><Relationship Type="http://schemas.openxmlformats.org/officeDocument/2006/relationships/hyperlink" Target="https://legis.la.gov/legis/Law.aspx?d=88470" TargetMode="External" Id="rId103"/><Relationship Type="http://schemas.openxmlformats.org/officeDocument/2006/relationships/hyperlink" Target="https://legis.la.gov/legis/Law.aspx?d=88470" TargetMode="External" Id="rId104"/><Relationship Type="http://schemas.openxmlformats.org/officeDocument/2006/relationships/hyperlink" Target="https://legis.la.gov/legis/Law.aspx?d=88470" TargetMode="External" Id="rId105"/><Relationship Type="http://schemas.openxmlformats.org/officeDocument/2006/relationships/hyperlink" Target="https://legis.la.gov/legis/Law.aspx?d=88606" TargetMode="External" Id="rId106"/><Relationship Type="http://schemas.openxmlformats.org/officeDocument/2006/relationships/hyperlink" Target="https://legis.la.gov/legis/Law.aspx?d=1383891" TargetMode="External" Id="rId107"/><Relationship Type="http://schemas.openxmlformats.org/officeDocument/2006/relationships/hyperlink" Target="https://legis.la.gov/legis/Law.aspx?d=1383891" TargetMode="External" Id="rId108"/><Relationship Type="http://schemas.openxmlformats.org/officeDocument/2006/relationships/hyperlink" Target="https://legislature.maine.gov/statutes/29-A/title29-Asec1605.html" TargetMode="External" Id="rId109"/><Relationship Type="http://schemas.openxmlformats.org/officeDocument/2006/relationships/hyperlink" Target="https://legislature.maine.gov/statutes/29-A/title29-Asec1605.html" TargetMode="External" Id="rId110"/><Relationship Type="http://schemas.openxmlformats.org/officeDocument/2006/relationships/hyperlink" Target="https://legislature.maine.gov/statutes/29-A/title29-Asec1605.html" TargetMode="External" Id="rId111"/><Relationship Type="http://schemas.openxmlformats.org/officeDocument/2006/relationships/hyperlink" Target="https://legislature.maine.gov/statutes/24-A/title24-Asec2902.html" TargetMode="External" Id="rId112"/><Relationship Type="http://schemas.openxmlformats.org/officeDocument/2006/relationships/hyperlink" Target="https://legislature.maine.gov/statutes/14/title14sec752.html" TargetMode="External" Id="rId113"/><Relationship Type="http://schemas.openxmlformats.org/officeDocument/2006/relationships/hyperlink" Target="https://legislature.maine.gov/statutes/14/title14sec752.html" TargetMode="External" Id="rId114"/><Relationship Type="http://schemas.openxmlformats.org/officeDocument/2006/relationships/hyperlink" Target="https://mgaleg.maryland.gov/mgawebsite/Laws/StatuteText?article=gtr&amp;section=17-103" TargetMode="External" Id="rId115"/><Relationship Type="http://schemas.openxmlformats.org/officeDocument/2006/relationships/hyperlink" Target="https://mgaleg.maryland.gov/mgawebsite/Laws/StatuteText?article=gtr&amp;section=17-103" TargetMode="External" Id="rId116"/><Relationship Type="http://schemas.openxmlformats.org/officeDocument/2006/relationships/hyperlink" Target="https://mgaleg.maryland.gov/mgawebsite/Laws/StatuteText?article=gin&amp;section=19-505" TargetMode="External" Id="rId117"/><Relationship Type="http://schemas.openxmlformats.org/officeDocument/2006/relationships/hyperlink" Target="https://mgaleg.maryland.gov/mgawebsite/Laws/StatuteText?article=gin&amp;section=19-509" TargetMode="External" Id="rId118"/><Relationship Type="http://schemas.openxmlformats.org/officeDocument/2006/relationships/hyperlink" Target="https://mgaleg.maryland.gov/mgawebsite/Laws/StatuteText?article=gcj&amp;section=5-101" TargetMode="External" Id="rId119"/><Relationship Type="http://schemas.openxmlformats.org/officeDocument/2006/relationships/hyperlink" Target="https://mgaleg.maryland.gov/mgawebsite/Laws/StatuteText?article=gcj&amp;section=5-101" TargetMode="External" Id="rId120"/><Relationship Type="http://schemas.openxmlformats.org/officeDocument/2006/relationships/hyperlink" Target="https://www.mass.gov/doc/2025-a-new-motor-vehicle-mandatory-coverage-limits/download" TargetMode="External" Id="rId121"/><Relationship Type="http://schemas.openxmlformats.org/officeDocument/2006/relationships/hyperlink" Target="https://www.mass.gov/doc/2025-a-new-motor-vehicle-mandatory-coverage-limits/download" TargetMode="External" Id="rId122"/><Relationship Type="http://schemas.openxmlformats.org/officeDocument/2006/relationships/hyperlink" Target="https://malegislature.gov/Laws/GeneralLaws/PartI/TitleXIV/Chapter90/Section34A" TargetMode="External" Id="rId123"/><Relationship Type="http://schemas.openxmlformats.org/officeDocument/2006/relationships/hyperlink" Target="https://www.mass.gov/doc/2025-a-new-motor-vehicle-mandatory-coverage-limits/download" TargetMode="External" Id="rId124"/><Relationship Type="http://schemas.openxmlformats.org/officeDocument/2006/relationships/hyperlink" Target="https://malegislature.gov/Laws/GeneralLaws/PartIII/TitleV/Chapter260/Section2A" TargetMode="External" Id="rId125"/><Relationship Type="http://schemas.openxmlformats.org/officeDocument/2006/relationships/hyperlink" Target="https://malegislature.gov/Laws/GeneralLaws/PartIII/TitleV/Chapter260/Section2A" TargetMode="External" Id="rId126"/><Relationship Type="http://schemas.openxmlformats.org/officeDocument/2006/relationships/hyperlink" Target="https://www.michigan.gov/autoinsurance/choosing-coverage/choosing-bodily-injury-coverage" TargetMode="External" Id="rId127"/><Relationship Type="http://schemas.openxmlformats.org/officeDocument/2006/relationships/hyperlink" Target="https://www.michigan.gov/autoinsurance/choosing-coverage/choosing-bodily-injury-coverage" TargetMode="External" Id="rId128"/><Relationship Type="http://schemas.openxmlformats.org/officeDocument/2006/relationships/hyperlink" Target="https://www.michigan.gov/autoinsurance/choosing-coverage/personal-injury-protection-pip" TargetMode="External" Id="rId129"/><Relationship Type="http://schemas.openxmlformats.org/officeDocument/2006/relationships/hyperlink" Target="https://www.michigan.gov/difs/consumers/insurance/auto-insurance" TargetMode="External" Id="rId130"/><Relationship Type="http://schemas.openxmlformats.org/officeDocument/2006/relationships/hyperlink" Target="https://legislature.mi.gov/doc.aspx?mcl-600-5805" TargetMode="External" Id="rId131"/><Relationship Type="http://schemas.openxmlformats.org/officeDocument/2006/relationships/hyperlink" Target="https://legislature.mi.gov/doc.aspx?mcl-600-5805" TargetMode="External" Id="rId132"/><Relationship Type="http://schemas.openxmlformats.org/officeDocument/2006/relationships/hyperlink" Target="https://www.revisor.mn.gov/statutes/cite/65B.48" TargetMode="External" Id="rId133"/><Relationship Type="http://schemas.openxmlformats.org/officeDocument/2006/relationships/hyperlink" Target="https://www.revisor.mn.gov/statutes/cite/65B.48" TargetMode="External" Id="rId134"/><Relationship Type="http://schemas.openxmlformats.org/officeDocument/2006/relationships/hyperlink" Target="https://www.revisor.mn.gov/statutes/cite/65B.48" TargetMode="External" Id="rId135"/><Relationship Type="http://schemas.openxmlformats.org/officeDocument/2006/relationships/hyperlink" Target="https://www.revisor.mn.gov/statutes/cite/65B.49" TargetMode="External" Id="rId136"/><Relationship Type="http://schemas.openxmlformats.org/officeDocument/2006/relationships/hyperlink" Target="https://www.revisor.mn.gov/statutes/cite/541.07" TargetMode="External" Id="rId137"/><Relationship Type="http://schemas.openxmlformats.org/officeDocument/2006/relationships/hyperlink" Target="https://www.revisor.mn.gov/statutes/cite/541.07" TargetMode="External" Id="rId138"/><Relationship Type="http://schemas.openxmlformats.org/officeDocument/2006/relationships/hyperlink" Target="https://billstatus.ls.state.ms.us/documents/2024/pdf/mscode/63-15-43.pdf" TargetMode="External" Id="rId139"/><Relationship Type="http://schemas.openxmlformats.org/officeDocument/2006/relationships/hyperlink" Target="https://billstatus.ls.state.ms.us/documents/2024/pdf/mscode/63-15-43.pdf" TargetMode="External" Id="rId140"/><Relationship Type="http://schemas.openxmlformats.org/officeDocument/2006/relationships/hyperlink" Target="https://billstatus.ls.state.ms.us/documents/2024/pdf/mscode/63-15-43.pdf" TargetMode="External" Id="rId141"/><Relationship Type="http://schemas.openxmlformats.org/officeDocument/2006/relationships/hyperlink" Target="https://billstatus.ls.state.ms.us/documents/2024/pdf/mscode/83-11-101.pdf" TargetMode="External" Id="rId142"/><Relationship Type="http://schemas.openxmlformats.org/officeDocument/2006/relationships/hyperlink" Target="https://billstatus.ls.state.ms.us/documents/2024/pdf/mscode/15-1-49.pdf" TargetMode="External" Id="rId143"/><Relationship Type="http://schemas.openxmlformats.org/officeDocument/2006/relationships/hyperlink" Target="https://billstatus.ls.state.ms.us/documents/2024/pdf/mscode/15-1-49.pdf" TargetMode="External" Id="rId144"/><Relationship Type="http://schemas.openxmlformats.org/officeDocument/2006/relationships/hyperlink" Target="https://dor.mo.gov/driver-license/insurance/" TargetMode="External" Id="rId145"/><Relationship Type="http://schemas.openxmlformats.org/officeDocument/2006/relationships/hyperlink" Target="https://dor.mo.gov/driver-license/insurance/" TargetMode="External" Id="rId146"/><Relationship Type="http://schemas.openxmlformats.org/officeDocument/2006/relationships/hyperlink" Target="https://dor.mo.gov/driver-license/insurance/" TargetMode="External" Id="rId147"/><Relationship Type="http://schemas.openxmlformats.org/officeDocument/2006/relationships/hyperlink" Target="https://dor.mo.gov/driver-license/insurance/" TargetMode="External" Id="rId148"/><Relationship Type="http://schemas.openxmlformats.org/officeDocument/2006/relationships/hyperlink" Target="https://revisor.mo.gov/main/OneSection.aspx?section=516.120" TargetMode="External" Id="rId149"/><Relationship Type="http://schemas.openxmlformats.org/officeDocument/2006/relationships/hyperlink" Target="https://revisor.mo.gov/main/OneSection.aspx?section=516.120" TargetMode="External" Id="rId150"/><Relationship Type="http://schemas.openxmlformats.org/officeDocument/2006/relationships/hyperlink" Target="https://mvdmt.gov/vehicle-insurance-and-verification/" TargetMode="External" Id="rId151"/><Relationship Type="http://schemas.openxmlformats.org/officeDocument/2006/relationships/hyperlink" Target="https://mvdmt.gov/vehicle-insurance-and-verification/" TargetMode="External" Id="rId152"/><Relationship Type="http://schemas.openxmlformats.org/officeDocument/2006/relationships/hyperlink" Target="https://mvdmt.gov/vehicle-insurance-and-verification/" TargetMode="External" Id="rId153"/><Relationship Type="http://schemas.openxmlformats.org/officeDocument/2006/relationships/hyperlink" Target="https://leg.mt.gov/bills/mca/title_0330/chapter_0230/part_0020/section_0010/0330-0230-0020-0010.html" TargetMode="External" Id="rId154"/><Relationship Type="http://schemas.openxmlformats.org/officeDocument/2006/relationships/hyperlink" Target="https://leg.mt.gov/bills/mca/title_0270/chapter_0020/part_0020/section_0040/0270-0020-0020-0040.html" TargetMode="External" Id="rId155"/><Relationship Type="http://schemas.openxmlformats.org/officeDocument/2006/relationships/hyperlink" Target="https://leg.mt.gov/bills/mca/title_0270/chapter_0020/part_0020/section_0040/0270-0020-0020-0040.html" TargetMode="External" Id="rId156"/><Relationship Type="http://schemas.openxmlformats.org/officeDocument/2006/relationships/hyperlink" Target="https://nebraskalegislature.gov/laws/statutes.php?statute=60-509" TargetMode="External" Id="rId157"/><Relationship Type="http://schemas.openxmlformats.org/officeDocument/2006/relationships/hyperlink" Target="https://nebraskalegislature.gov/laws/statutes.php?statute=60-509" TargetMode="External" Id="rId158"/><Relationship Type="http://schemas.openxmlformats.org/officeDocument/2006/relationships/hyperlink" Target="https://nebraskalegislature.gov/laws/statutes.php?statute=60-509" TargetMode="External" Id="rId159"/><Relationship Type="http://schemas.openxmlformats.org/officeDocument/2006/relationships/hyperlink" Target="https://nebraskalegislature.gov/laws/statutes.php?statute=44-6408" TargetMode="External" Id="rId160"/><Relationship Type="http://schemas.openxmlformats.org/officeDocument/2006/relationships/hyperlink" Target="https://nebraskalegislature.gov/laws/statutes.php?statute=25-207" TargetMode="External" Id="rId161"/><Relationship Type="http://schemas.openxmlformats.org/officeDocument/2006/relationships/hyperlink" Target="https://nebraskalegislature.gov/laws/statutes.php?statute=25-207" TargetMode="External" Id="rId162"/><Relationship Type="http://schemas.openxmlformats.org/officeDocument/2006/relationships/hyperlink" Target="https://www.leg.state.nv.us/NRS/NRS-485.html" TargetMode="External" Id="rId163"/><Relationship Type="http://schemas.openxmlformats.org/officeDocument/2006/relationships/hyperlink" Target="https://www.leg.state.nv.us/NRS/NRS-485.html" TargetMode="External" Id="rId164"/><Relationship Type="http://schemas.openxmlformats.org/officeDocument/2006/relationships/hyperlink" Target="https://www.leg.state.nv.us/NRS/NRS-485.html" TargetMode="External" Id="rId165"/><Relationship Type="http://schemas.openxmlformats.org/officeDocument/2006/relationships/hyperlink" Target="https://www.leg.state.nv.us/NRS/NRS-687B.html" TargetMode="External" Id="rId166"/><Relationship Type="http://schemas.openxmlformats.org/officeDocument/2006/relationships/hyperlink" Target="https://www.leg.state.nv.us/NRS/NRS-011.html" TargetMode="External" Id="rId167"/><Relationship Type="http://schemas.openxmlformats.org/officeDocument/2006/relationships/hyperlink" Target="https://www.leg.state.nv.us/NRS/NRS-011.html" TargetMode="External" Id="rId168"/><Relationship Type="http://schemas.openxmlformats.org/officeDocument/2006/relationships/hyperlink" Target="https://mm.nh.gov/files/uploads/nhid/documents/nh-auto-guide.pdf" TargetMode="External" Id="rId169"/><Relationship Type="http://schemas.openxmlformats.org/officeDocument/2006/relationships/hyperlink" Target="https://mm.nh.gov/files/uploads/nhid/documents/nh-auto-guide.pdf" TargetMode="External" Id="rId170"/><Relationship Type="http://schemas.openxmlformats.org/officeDocument/2006/relationships/hyperlink" Target="https://mm.nh.gov/files/uploads/nhid/documents/nh-auto-guide.pdf" TargetMode="External" Id="rId171"/><Relationship Type="http://schemas.openxmlformats.org/officeDocument/2006/relationships/hyperlink" Target="https://www.gencourt.state.nh.us/rsa/html/XXI/264/264-15.htm" TargetMode="External" Id="rId172"/><Relationship Type="http://schemas.openxmlformats.org/officeDocument/2006/relationships/hyperlink" Target="https://www.gencourt.state.nh.us/rsa/html/LV/508/508-4.htm" TargetMode="External" Id="rId173"/><Relationship Type="http://schemas.openxmlformats.org/officeDocument/2006/relationships/hyperlink" Target="https://www.gencourt.state.nh.us/rsa/html/LV/508/508-4.htm" TargetMode="External" Id="rId174"/><Relationship Type="http://schemas.openxmlformats.org/officeDocument/2006/relationships/hyperlink" Target="https://www.nj.gov/dobi/division_consumers/insurance/standardpolicy.html" TargetMode="External" Id="rId175"/><Relationship Type="http://schemas.openxmlformats.org/officeDocument/2006/relationships/hyperlink" Target="https://www.nj.gov/dobi/division_consumers/insurance/standardpolicy.html" TargetMode="External" Id="rId176"/><Relationship Type="http://schemas.openxmlformats.org/officeDocument/2006/relationships/hyperlink" Target="https://www.nj.gov/dobi/division_consumers/insurance/standardpolicy.html" TargetMode="External" Id="rId177"/><Relationship Type="http://schemas.openxmlformats.org/officeDocument/2006/relationships/hyperlink" Target="https://www.nj.gov/dobi/bulletins/blt25_06.pdf" TargetMode="External" Id="rId178"/><Relationship Type="http://schemas.openxmlformats.org/officeDocument/2006/relationships/hyperlink" Target="https://www.njleg.state.nj.us/statutes/2A/14-2" TargetMode="External" Id="rId179"/><Relationship Type="http://schemas.openxmlformats.org/officeDocument/2006/relationships/hyperlink" Target="https://www.njleg.state.nj.us/bill-search/2022/S3333" TargetMode="External" Id="rId180"/><Relationship Type="http://schemas.openxmlformats.org/officeDocument/2006/relationships/hyperlink" Target="https://www.mvd.newmexico.gov/vehicles/insurance/" TargetMode="External" Id="rId181"/><Relationship Type="http://schemas.openxmlformats.org/officeDocument/2006/relationships/hyperlink" Target="https://www.mvd.newmexico.gov/vehicles/insurance/" TargetMode="External" Id="rId182"/><Relationship Type="http://schemas.openxmlformats.org/officeDocument/2006/relationships/hyperlink" Target="https://www.mvd.newmexico.gov/vehicles/insurance/" TargetMode="External" Id="rId183"/><Relationship Type="http://schemas.openxmlformats.org/officeDocument/2006/relationships/hyperlink" Target="https://nmonesource.com/nmos/nmsa/en/item/4394/index.do" TargetMode="External" Id="rId184"/><Relationship Type="http://schemas.openxmlformats.org/officeDocument/2006/relationships/hyperlink" Target="https://nmonesource.com/nmos/nmsa/en/item/4355/index.do" TargetMode="External" Id="rId185"/><Relationship Type="http://schemas.openxmlformats.org/officeDocument/2006/relationships/hyperlink" Target="https://nmonesource.com/nmos/nmsa/en/item/4355/index.do" TargetMode="External" Id="rId186"/><Relationship Type="http://schemas.openxmlformats.org/officeDocument/2006/relationships/hyperlink" Target="https://dmv.ny.gov/insurance/insurance-requirements" TargetMode="External" Id="rId187"/><Relationship Type="http://schemas.openxmlformats.org/officeDocument/2006/relationships/hyperlink" Target="https://dmv.ny.gov/insurance/insurance-requirements" TargetMode="External" Id="rId188"/><Relationship Type="http://schemas.openxmlformats.org/officeDocument/2006/relationships/hyperlink" Target="https://www.dfs.ny.gov/faqs/consumer-auto/how-much-auto-insurance-must-i-carry" TargetMode="External" Id="rId189"/><Relationship Type="http://schemas.openxmlformats.org/officeDocument/2006/relationships/hyperlink" Target="https://www.dfs.ny.gov/faqs/consumer-auto/how-much-auto-insurance-must-i-carry" TargetMode="External" Id="rId190"/><Relationship Type="http://schemas.openxmlformats.org/officeDocument/2006/relationships/hyperlink" Target="https://www.nysenate.gov/legislation/laws/CVP/214" TargetMode="External" Id="rId191"/><Relationship Type="http://schemas.openxmlformats.org/officeDocument/2006/relationships/hyperlink" Target="https://www.nysenate.gov/legislation/laws/CVP/214" TargetMode="External" Id="rId192"/><Relationship Type="http://schemas.openxmlformats.org/officeDocument/2006/relationships/hyperlink" Target="https://www.ncdot.gov/dmv/title-registration/insurance-requirements/Pages/default.aspx" TargetMode="External" Id="rId193"/><Relationship Type="http://schemas.openxmlformats.org/officeDocument/2006/relationships/hyperlink" Target="https://www.ncdot.gov/dmv/title-registration/insurance-requirements/Pages/default.aspx" TargetMode="External" Id="rId194"/><Relationship Type="http://schemas.openxmlformats.org/officeDocument/2006/relationships/hyperlink" Target="https://www.ncdot.gov/dmv/title-registration/insurance-requirements/Pages/default.aspx" TargetMode="External" Id="rId195"/><Relationship Type="http://schemas.openxmlformats.org/officeDocument/2006/relationships/hyperlink" Target="https://www.ncleg.gov/EnactedLegislation/Statutes/PDF/BySection/Chapter_20/GS_20-279.21.pdf" TargetMode="External" Id="rId196"/><Relationship Type="http://schemas.openxmlformats.org/officeDocument/2006/relationships/hyperlink" Target="https://www.ncleg.gov/EnactedLegislation/Statutes/HTML/BySection/Chapter_1/GS_1-52.html" TargetMode="External" Id="rId197"/><Relationship Type="http://schemas.openxmlformats.org/officeDocument/2006/relationships/hyperlink" Target="https://www.ncleg.gov/EnactedLegislation/Statutes/HTML/BySection/Chapter_1/GS_1-52.html" TargetMode="External" Id="rId198"/><Relationship Type="http://schemas.openxmlformats.org/officeDocument/2006/relationships/hyperlink" Target="https://ndlegis.gov/cencode/t39c16-1.pdf" TargetMode="External" Id="rId199"/><Relationship Type="http://schemas.openxmlformats.org/officeDocument/2006/relationships/hyperlink" Target="https://ndlegis.gov/cencode/t39c16-1.pdf" TargetMode="External" Id="rId200"/><Relationship Type="http://schemas.openxmlformats.org/officeDocument/2006/relationships/hyperlink" Target="https://ndlegis.gov/cencode/t26-41.pdf" TargetMode="External" Id="rId201"/><Relationship Type="http://schemas.openxmlformats.org/officeDocument/2006/relationships/hyperlink" Target="https://ndlegis.gov/cencode/t26-40.pdf" TargetMode="External" Id="rId202"/><Relationship Type="http://schemas.openxmlformats.org/officeDocument/2006/relationships/hyperlink" Target="https://www.ndlegis.gov/cencode/t28-01.pdf" TargetMode="External" Id="rId203"/><Relationship Type="http://schemas.openxmlformats.org/officeDocument/2006/relationships/hyperlink" Target="https://www.ndlegis.gov/cencode/t28-01.pdf" TargetMode="External" Id="rId204"/><Relationship Type="http://schemas.openxmlformats.org/officeDocument/2006/relationships/hyperlink" Target="https://codes.ohio.gov/ohio-revised-code/section-4509.51" TargetMode="External" Id="rId205"/><Relationship Type="http://schemas.openxmlformats.org/officeDocument/2006/relationships/hyperlink" Target="https://codes.ohio.gov/ohio-revised-code/section-4509.51" TargetMode="External" Id="rId206"/><Relationship Type="http://schemas.openxmlformats.org/officeDocument/2006/relationships/hyperlink" Target="https://codes.ohio.gov/ohio-revised-code/section-4509.51" TargetMode="External" Id="rId207"/><Relationship Type="http://schemas.openxmlformats.org/officeDocument/2006/relationships/hyperlink" Target="https://codes.ohio.gov/ohio-revised-code/section-3937.18" TargetMode="External" Id="rId208"/><Relationship Type="http://schemas.openxmlformats.org/officeDocument/2006/relationships/hyperlink" Target="https://codes.ohio.gov/ohio-revised-code/section-2305.10" TargetMode="External" Id="rId209"/><Relationship Type="http://schemas.openxmlformats.org/officeDocument/2006/relationships/hyperlink" Target="https://codes.ohio.gov/ohio-revised-code/section-2305.10" TargetMode="External" Id="rId210"/><Relationship Type="http://schemas.openxmlformats.org/officeDocument/2006/relationships/hyperlink" Target="https://www.oid.ok.gov/wp-content/uploads/2020/01/2020_Auto-Brochure.pdf" TargetMode="External" Id="rId211"/><Relationship Type="http://schemas.openxmlformats.org/officeDocument/2006/relationships/hyperlink" Target="https://www.oid.ok.gov/wp-content/uploads/2020/01/2020_Auto-Brochure.pdf" TargetMode="External" Id="rId212"/><Relationship Type="http://schemas.openxmlformats.org/officeDocument/2006/relationships/hyperlink" Target="https://www.oid.ok.gov/consumers/insurance-basics/auto-insurance/" TargetMode="External" Id="rId213"/><Relationship Type="http://schemas.openxmlformats.org/officeDocument/2006/relationships/hyperlink" Target="https://oklegal.onenet.net/oklegal-cgi/get_statute?99/Title.36/36-3636.html=" TargetMode="External" Id="rId214"/><Relationship Type="http://schemas.openxmlformats.org/officeDocument/2006/relationships/hyperlink" Target="https://www.oscn.net/applications/oscn/Index.asp?ftdb=STOKST12" TargetMode="External" Id="rId215"/><Relationship Type="http://schemas.openxmlformats.org/officeDocument/2006/relationships/hyperlink" Target="https://www.oscn.net/applications/oscn/Index.asp?ftdb=STOKST12" TargetMode="External" Id="rId216"/><Relationship Type="http://schemas.openxmlformats.org/officeDocument/2006/relationships/hyperlink" Target="https://www.oregonlegislature.gov/bills_laws/ors/ors806.html" TargetMode="External" Id="rId217"/><Relationship Type="http://schemas.openxmlformats.org/officeDocument/2006/relationships/hyperlink" Target="https://www.oregonlegislature.gov/bills_laws/ors/ors806.html" TargetMode="External" Id="rId218"/><Relationship Type="http://schemas.openxmlformats.org/officeDocument/2006/relationships/hyperlink" Target="https://www.oregonlegislature.gov/bills_laws/ors/ors742.html" TargetMode="External" Id="rId219"/><Relationship Type="http://schemas.openxmlformats.org/officeDocument/2006/relationships/hyperlink" Target="https://www.oregonlegislature.gov/bills_laws/ors/ors742.html" TargetMode="External" Id="rId220"/><Relationship Type="http://schemas.openxmlformats.org/officeDocument/2006/relationships/hyperlink" Target="https://www.oregonlegislature.gov/bills_laws/ors/ors12.html" TargetMode="External" Id="rId221"/><Relationship Type="http://schemas.openxmlformats.org/officeDocument/2006/relationships/hyperlink" Target="https://www.oregonlegislature.gov/bills_laws/ors/ors012.html" TargetMode="External" Id="rId222"/><Relationship Type="http://schemas.openxmlformats.org/officeDocument/2006/relationships/hyperlink" Target="https://www.legis.state.pa.us/WU01/LI/LI/CT/HTM/75/00.017.002.000..HTM" TargetMode="External" Id="rId223"/><Relationship Type="http://schemas.openxmlformats.org/officeDocument/2006/relationships/hyperlink" Target="https://www.legis.state.pa.us/WU01/LI/LI/CT/HTM/75/00.017.002.000..HTM" TargetMode="External" Id="rId224"/><Relationship Type="http://schemas.openxmlformats.org/officeDocument/2006/relationships/hyperlink" Target="https://www.legis.state.pa.us/WU01/LI/LI/CT/HTM/75/00.017.011.000..HTM" TargetMode="External" Id="rId225"/><Relationship Type="http://schemas.openxmlformats.org/officeDocument/2006/relationships/hyperlink" Target="https://www.legis.state.pa.us/WU01/LI/LI/CT/HTM/75/00.017.031.000..HTM" TargetMode="External" Id="rId226"/><Relationship Type="http://schemas.openxmlformats.org/officeDocument/2006/relationships/hyperlink" Target="https://www.legis.state.pa.us/WU01/LI/LI/CT/HTM/42/00.055.024.000..HTM" TargetMode="External" Id="rId227"/><Relationship Type="http://schemas.openxmlformats.org/officeDocument/2006/relationships/hyperlink" Target="https://www.legis.state.pa.us/WU01/LI/LI/CT/HTM/42/00.055.024.000..HTM" TargetMode="External" Id="rId228"/><Relationship Type="http://schemas.openxmlformats.org/officeDocument/2006/relationships/hyperlink" Target="http://webserver.rilegislature.gov/Statutes/TITLE31/31-47/31-47-2.htm" TargetMode="External" Id="rId229"/><Relationship Type="http://schemas.openxmlformats.org/officeDocument/2006/relationships/hyperlink" Target="http://webserver.rilegislature.gov/Statutes/TITLE31/31-47/31-47-2.htm" TargetMode="External" Id="rId230"/><Relationship Type="http://schemas.openxmlformats.org/officeDocument/2006/relationships/hyperlink" Target="http://webserver.rilegislature.gov/Statutes/TITLE31/31-47/31-47-2.htm" TargetMode="External" Id="rId231"/><Relationship Type="http://schemas.openxmlformats.org/officeDocument/2006/relationships/hyperlink" Target="http://webserver.rilegislature.gov/Statutes/TITLE27/27-7/27-7-2.1.htm" TargetMode="External" Id="rId232"/><Relationship Type="http://schemas.openxmlformats.org/officeDocument/2006/relationships/hyperlink" Target="http://webserver.rilegislature.gov/Statutes/TITLE9/9-1/9-1-14.htm" TargetMode="External" Id="rId233"/><Relationship Type="http://schemas.openxmlformats.org/officeDocument/2006/relationships/hyperlink" Target="http://webserver.rilegislature.gov/Statutes/TITLE9/9-1/9-1-14.htm" TargetMode="External" Id="rId234"/><Relationship Type="http://schemas.openxmlformats.org/officeDocument/2006/relationships/hyperlink" Target="https://www.scstatehouse.gov/code/t38c077.php" TargetMode="External" Id="rId235"/><Relationship Type="http://schemas.openxmlformats.org/officeDocument/2006/relationships/hyperlink" Target="https://www.scstatehouse.gov/code/t38c077.php" TargetMode="External" Id="rId236"/><Relationship Type="http://schemas.openxmlformats.org/officeDocument/2006/relationships/hyperlink" Target="https://doi.sc.gov/605/Auto-Insurance" TargetMode="External" Id="rId237"/><Relationship Type="http://schemas.openxmlformats.org/officeDocument/2006/relationships/hyperlink" Target="https://www.scstatehouse.gov/code/t38c077.php" TargetMode="External" Id="rId238"/><Relationship Type="http://schemas.openxmlformats.org/officeDocument/2006/relationships/hyperlink" Target="https://www.scstatehouse.gov/code/t15c003.php" TargetMode="External" Id="rId239"/><Relationship Type="http://schemas.openxmlformats.org/officeDocument/2006/relationships/hyperlink" Target="https://www.scstatehouse.gov/code/t15c003.php" TargetMode="External" Id="rId240"/><Relationship Type="http://schemas.openxmlformats.org/officeDocument/2006/relationships/hyperlink" Target="https://sdlegislature.gov/Statutes/32-35-70" TargetMode="External" Id="rId241"/><Relationship Type="http://schemas.openxmlformats.org/officeDocument/2006/relationships/hyperlink" Target="https://sdlegislature.gov/Statutes/32-35-70" TargetMode="External" Id="rId242"/><Relationship Type="http://schemas.openxmlformats.org/officeDocument/2006/relationships/hyperlink" Target="https://sdlegislature.gov/Statutes/32-35-70" TargetMode="External" Id="rId243"/><Relationship Type="http://schemas.openxmlformats.org/officeDocument/2006/relationships/hyperlink" Target="https://sdlegislature.gov/Statutes/58-11-9" TargetMode="External" Id="rId244"/><Relationship Type="http://schemas.openxmlformats.org/officeDocument/2006/relationships/hyperlink" Target="https://sdlegislature.gov/Statutes/Codified_Laws/2038151" TargetMode="External" Id="rId245"/><Relationship Type="http://schemas.openxmlformats.org/officeDocument/2006/relationships/hyperlink" Target="https://sdlegislature.gov/Statutes/Codified_Laws/DisplayStatute.aspx?Type=Statute&amp;Statute=15-2-13" TargetMode="External" Id="rId246"/><Relationship Type="http://schemas.openxmlformats.org/officeDocument/2006/relationships/hyperlink" Target="https://advance.lexis.com/documentpage/?pdmfid=1000516&amp;crid=a6cbe5f6-69a6-4bfb-bf4f-46768d8c6db8&amp;config=025054JABlOTJjNmIyNi0wYjI0LTRjZGEtYWE5ZC0zNGFhOWNhMjFlNDgKAFBvZENhdGFsb2cDFQ14bX2GfyBTaI9WcPX5&amp;pddocfullpath=%2Fshared%2Fdocument%2Fstatutes-legislation%2Furn%3AcontentItem%3A4X8K-TFT0-R03N-44H7-00008-00&amp;pdcontentcomponentid=234179&amp;pdteaserkey=sr0&amp;pditab=allpods&amp;ecomp=6s65kkk&amp;earg=sr0&amp;prid=67e32d3a-40ae-46c4-a134-3c3460ac6d59" TargetMode="External" Id="rId247"/><Relationship Type="http://schemas.openxmlformats.org/officeDocument/2006/relationships/hyperlink" Target="https://advance.lexis.com/documentpage/?pdmfid=1000516&amp;crid=a6cbe5f6-69a6-4bfb-bf4f-46768d8c6db8&amp;config=025054JABlOTJjNmIyNi0wYjI0LTRjZGEtYWE5ZC0zNGFhOWNhMjFlNDgKAFBvZENhdGFsb2cDFQ14bX2GfyBTaI9WcPX5&amp;pddocfullpath=%2Fshared%2Fdocument%2Fstatutes-legislation%2Furn%3AcontentItem%3A4X8K-TFT0-R03N-44H7-00008-00&amp;pdcontentcomponentid=234179&amp;pdteaserkey=sr0&amp;pditab=allpods&amp;ecomp=6s65kkk&amp;earg=sr0&amp;prid=67e32d3a-40ae-46c4-a134-3c3460ac6d59" TargetMode="External" Id="rId248"/><Relationship Type="http://schemas.openxmlformats.org/officeDocument/2006/relationships/hyperlink" Target="https://www.tn.gov/revenue/title-and-registration/drive-insured-tennessee/why-you-should-have-insurance.html" TargetMode="External" Id="rId249"/><Relationship Type="http://schemas.openxmlformats.org/officeDocument/2006/relationships/hyperlink" Target="https://www.tn.gov/commerce/news/2017/4/28/tdci-ridesharing-drivers-should-check-insurance-coverage-for-gap.html" TargetMode="External" Id="rId250"/><Relationship Type="http://schemas.openxmlformats.org/officeDocument/2006/relationships/hyperlink" Target="https://advance.lexis.com/container?config=014CJAA5ZGVhZjA3NS02MmMzLTRlZWQtOGJjNC00YzQ1MmZlNzc2YWYKAFBvZENhdGFsb2e9zYpNUjTRaIWVfyrur9ud" TargetMode="External" Id="rId251"/><Relationship Type="http://schemas.openxmlformats.org/officeDocument/2006/relationships/hyperlink" Target="https://advance.lexis.com/container?config=014CJAA5ZGVhZjA3NS02MmMzLTRlZWQtOGJjNC00YzQ1MmZlNzc2YWYKAFBvZENhdGFsb2e9zYpNUjTRaIWVfyrur9ud" TargetMode="External" Id="rId252"/><Relationship Type="http://schemas.openxmlformats.org/officeDocument/2006/relationships/hyperlink" Target="https://statutes.capitol.texas.gov/Docs/TN/htm/TN.601.htm" TargetMode="External" Id="rId253"/><Relationship Type="http://schemas.openxmlformats.org/officeDocument/2006/relationships/hyperlink" Target="https://statutes.capitol.texas.gov/Docs/TN/htm/TN.601.htm" TargetMode="External" Id="rId254"/><Relationship Type="http://schemas.openxmlformats.org/officeDocument/2006/relationships/hyperlink" Target="https://statutes.capitol.texas.gov/Docs/IN/htm/IN.1952.htm" TargetMode="External" Id="rId255"/><Relationship Type="http://schemas.openxmlformats.org/officeDocument/2006/relationships/hyperlink" Target="https://statutes.capitol.texas.gov/Docs/IN/htm/IN.1952.htm" TargetMode="External" Id="rId256"/><Relationship Type="http://schemas.openxmlformats.org/officeDocument/2006/relationships/hyperlink" Target="https://statutes.capitol.texas.gov/Docs/CP/htm/CP.16.htm" TargetMode="External" Id="rId257"/><Relationship Type="http://schemas.openxmlformats.org/officeDocument/2006/relationships/hyperlink" Target="https://statutes.capitol.texas.gov/Docs/CP/htm/CP.16.htm" TargetMode="External" Id="rId258"/><Relationship Type="http://schemas.openxmlformats.org/officeDocument/2006/relationships/hyperlink" Target="https://le.utah.gov/xcode/Title31A/Chapter22/31A-22-S304.html" TargetMode="External" Id="rId259"/><Relationship Type="http://schemas.openxmlformats.org/officeDocument/2006/relationships/hyperlink" Target="https://le.utah.gov/xcode/Title31A/Chapter22/31A-22-S304.html" TargetMode="External" Id="rId260"/><Relationship Type="http://schemas.openxmlformats.org/officeDocument/2006/relationships/hyperlink" Target="https://le.utah.gov/xcode/Title31A/Chapter22/31A-22-S307.html" TargetMode="External" Id="rId261"/><Relationship Type="http://schemas.openxmlformats.org/officeDocument/2006/relationships/hyperlink" Target="https://le.utah.gov/xcode/Title31A/Chapter22/31A-22-S305.html" TargetMode="External" Id="rId262"/><Relationship Type="http://schemas.openxmlformats.org/officeDocument/2006/relationships/hyperlink" Target="https://le.utah.gov/xcode/Title78B/Chapter2/78B-2-S307.html" TargetMode="External" Id="rId263"/><Relationship Type="http://schemas.openxmlformats.org/officeDocument/2006/relationships/hyperlink" Target="https://le.utah.gov/xcode/Title78B/Chapter2/78B-2-S305.html" TargetMode="External" Id="rId264"/><Relationship Type="http://schemas.openxmlformats.org/officeDocument/2006/relationships/hyperlink" Target="https://legislature.vermont.gov/statutes/section/23/011/00801" TargetMode="External" Id="rId265"/><Relationship Type="http://schemas.openxmlformats.org/officeDocument/2006/relationships/hyperlink" Target="https://legislature.vermont.gov/statutes/section/23/011/00801" TargetMode="External" Id="rId266"/><Relationship Type="http://schemas.openxmlformats.org/officeDocument/2006/relationships/hyperlink" Target="https://legislature.vermont.gov/statutes/section/23/011/00801" TargetMode="External" Id="rId267"/><Relationship Type="http://schemas.openxmlformats.org/officeDocument/2006/relationships/hyperlink" Target="https://legislature.vermont.gov/statutes/section/23/011/00941" TargetMode="External" Id="rId268"/><Relationship Type="http://schemas.openxmlformats.org/officeDocument/2006/relationships/hyperlink" Target="https://legislature.vermont.gov/statutes/section/12/023/00512" TargetMode="External" Id="rId269"/><Relationship Type="http://schemas.openxmlformats.org/officeDocument/2006/relationships/hyperlink" Target="https://legislature.vermont.gov/statutes/section/12/023/00512" TargetMode="External" Id="rId270"/><Relationship Type="http://schemas.openxmlformats.org/officeDocument/2006/relationships/hyperlink" Target="https://law.lis.virginia.gov/vacode/title46.2/chapter3/section46.2-472/" TargetMode="External" Id="rId271"/><Relationship Type="http://schemas.openxmlformats.org/officeDocument/2006/relationships/hyperlink" Target="https://law.lis.virginia.gov/vacode/title46.2/chapter3/section46.2-472/" TargetMode="External" Id="rId272"/><Relationship Type="http://schemas.openxmlformats.org/officeDocument/2006/relationships/hyperlink" Target="https://law.lis.virginia.gov/vacode/title46.2/chapter3/section46.2-472/" TargetMode="External" Id="rId273"/><Relationship Type="http://schemas.openxmlformats.org/officeDocument/2006/relationships/hyperlink" Target="https://law.lis.virginia.gov/vacode/title38.2/chapter22/section38.2-2206/" TargetMode="External" Id="rId274"/><Relationship Type="http://schemas.openxmlformats.org/officeDocument/2006/relationships/hyperlink" Target="https://law.lis.virginia.gov/vacode/title8.01/chapter4/section8.01-243/" TargetMode="External" Id="rId275"/><Relationship Type="http://schemas.openxmlformats.org/officeDocument/2006/relationships/hyperlink" Target="https://law.lis.virginia.gov/vacode/title8.01/chapter4/section8.01-243/" TargetMode="External" Id="rId276"/><Relationship Type="http://schemas.openxmlformats.org/officeDocument/2006/relationships/hyperlink" Target="https://app.leg.wa.gov/RCW/default.aspx?cite=46.29.090" TargetMode="External" Id="rId277"/><Relationship Type="http://schemas.openxmlformats.org/officeDocument/2006/relationships/hyperlink" Target="https://app.leg.wa.gov/RCW/default.aspx?cite=46.29.090" TargetMode="External" Id="rId278"/><Relationship Type="http://schemas.openxmlformats.org/officeDocument/2006/relationships/hyperlink" Target="https://app.leg.wa.gov/RCW/default.aspx?cite=48.22.095" TargetMode="External" Id="rId279"/><Relationship Type="http://schemas.openxmlformats.org/officeDocument/2006/relationships/hyperlink" Target="https://app.leg.wa.gov/RCW/default.aspx?cite=48.22.030" TargetMode="External" Id="rId280"/><Relationship Type="http://schemas.openxmlformats.org/officeDocument/2006/relationships/hyperlink" Target="https://app.leg.wa.gov/RCW/default.aspx?cite=4.16.080" TargetMode="External" Id="rId281"/><Relationship Type="http://schemas.openxmlformats.org/officeDocument/2006/relationships/hyperlink" Target="https://app.leg.wa.gov/RCW/default.aspx?cite=4.16.080" TargetMode="External" Id="rId282"/><Relationship Type="http://schemas.openxmlformats.org/officeDocument/2006/relationships/hyperlink" Target="https://code.wvlegislature.gov/17D-4-2/" TargetMode="External" Id="rId283"/><Relationship Type="http://schemas.openxmlformats.org/officeDocument/2006/relationships/hyperlink" Target="https://code.wvlegislature.gov/17D-4-2/" TargetMode="External" Id="rId284"/><Relationship Type="http://schemas.openxmlformats.org/officeDocument/2006/relationships/hyperlink" Target="https://code.wvlegislature.gov/17D-4-2/" TargetMode="External" Id="rId285"/><Relationship Type="http://schemas.openxmlformats.org/officeDocument/2006/relationships/hyperlink" Target="https://code.wvlegislature.gov/33-6-31/" TargetMode="External" Id="rId286"/><Relationship Type="http://schemas.openxmlformats.org/officeDocument/2006/relationships/hyperlink" Target="https://code.wvlegislature.gov/55-2-12/" TargetMode="External" Id="rId287"/><Relationship Type="http://schemas.openxmlformats.org/officeDocument/2006/relationships/hyperlink" Target="https://code.wvlegislature.gov/55-2-12/" TargetMode="External" Id="rId288"/><Relationship Type="http://schemas.openxmlformats.org/officeDocument/2006/relationships/hyperlink" Target="https://docs.legis.wisconsin.gov/statutes/statutes/344/iii/33" TargetMode="External" Id="rId289"/><Relationship Type="http://schemas.openxmlformats.org/officeDocument/2006/relationships/hyperlink" Target="https://docs.legis.wisconsin.gov/statutes/statutes/344/iii/33" TargetMode="External" Id="rId290"/><Relationship Type="http://schemas.openxmlformats.org/officeDocument/2006/relationships/hyperlink" Target="https://docs.legis.wisconsin.gov/statutes/statutes/344/iii/33" TargetMode="External" Id="rId291"/><Relationship Type="http://schemas.openxmlformats.org/officeDocument/2006/relationships/hyperlink" Target="https://docs.legis.wisconsin.gov/statutes/statutes/632/32" TargetMode="External" Id="rId292"/><Relationship Type="http://schemas.openxmlformats.org/officeDocument/2006/relationships/hyperlink" Target="https://docs.legis.wisconsin.gov/statutes/statutes/893/54" TargetMode="External" Id="rId293"/><Relationship Type="http://schemas.openxmlformats.org/officeDocument/2006/relationships/hyperlink" Target="https://docs.legis.wisconsin.gov/statutes/statutes/893/52" TargetMode="External" Id="rId294"/><Relationship Type="http://schemas.openxmlformats.org/officeDocument/2006/relationships/hyperlink" Target="https://wyoleg.gov/statutes/compress/title31.pdf" TargetMode="External" Id="rId295"/><Relationship Type="http://schemas.openxmlformats.org/officeDocument/2006/relationships/hyperlink" Target="https://wyoleg.gov/statutes/compress/title31.pdf" TargetMode="External" Id="rId296"/><Relationship Type="http://schemas.openxmlformats.org/officeDocument/2006/relationships/hyperlink" Target="https://wyoleg.gov/statutes/compress/title31.pdf" TargetMode="External" Id="rId297"/><Relationship Type="http://schemas.openxmlformats.org/officeDocument/2006/relationships/hyperlink" Target="https://wyoleg.gov/statutes/compress/title26.pdf" TargetMode="External" Id="rId298"/><Relationship Type="http://schemas.openxmlformats.org/officeDocument/2006/relationships/hyperlink" Target="https://wyoleg.gov/statutes/compress/title1.pdf" TargetMode="External" Id="rId299"/><Relationship Type="http://schemas.openxmlformats.org/officeDocument/2006/relationships/hyperlink" Target="https://wyoleg.gov/statutes/compress/title1.pdf" TargetMode="External" Id="rId300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showGridLines="0" workbookViewId="0">
      <selection activeCell="A1" sqref="A1"/>
    </sheetView>
  </sheetViews>
  <sheetFormatPr baseColWidth="8" defaultColWidth="8.6796875" defaultRowHeight="15"/>
  <cols>
    <col width="18" customWidth="1" style="355" min="1" max="1"/>
    <col width="16" customWidth="1" style="355" min="2" max="2"/>
    <col width="10" customWidth="1" style="355" min="3" max="3"/>
    <col width="22" customWidth="1" style="355" min="4" max="4"/>
    <col width="32" customWidth="1" style="355" min="5" max="6"/>
    <col width="12" customWidth="1" style="355" min="7" max="8"/>
    <col width="35" customWidth="1" style="355" min="9" max="16"/>
    <col width="45.90999984741211" customWidth="1" style="355" min="17" max="17"/>
    <col width="36" customWidth="1" style="355" min="18" max="18"/>
    <col width="24" customWidth="1" style="355" min="19" max="19"/>
    <col width="30" customWidth="1" style="355" min="20" max="20"/>
    <col width="22" customWidth="1" style="355" min="21" max="21"/>
    <col width="36" customWidth="1" style="355" min="22" max="22"/>
    <col width="30" customWidth="1" style="355" min="23" max="23"/>
    <col width="42" customWidth="1" style="355" min="24" max="24"/>
    <col width="24" customWidth="1" style="355" min="25" max="25"/>
    <col width="28" customWidth="1" style="355" min="26" max="26"/>
    <col width="42" customWidth="1" style="355" min="27" max="27"/>
  </cols>
  <sheetData>
    <row r="1" ht="42" customHeight="1" s="355">
      <c r="A1" s="339" t="inlineStr">
        <is>
          <t>State</t>
        </is>
      </c>
      <c r="B1" s="339" t="inlineStr">
        <is>
          <t>BI</t>
        </is>
      </c>
      <c r="C1" s="339" t="inlineStr">
        <is>
          <t>PD</t>
        </is>
      </c>
      <c r="D1" s="339" t="inlineStr">
        <is>
          <t>PIP</t>
        </is>
      </c>
      <c r="E1" s="339" t="inlineStr">
        <is>
          <t>UM</t>
        </is>
      </c>
      <c r="F1" s="339" t="inlineStr">
        <is>
          <t>UIM</t>
        </is>
      </c>
      <c r="G1" s="339" t="inlineStr">
        <is>
          <t>BI SOL</t>
        </is>
      </c>
      <c r="H1" s="339" t="inlineStr">
        <is>
          <t>PD SOL</t>
        </is>
      </c>
      <c r="I1" s="339" t="inlineStr">
        <is>
          <t>BI Source</t>
        </is>
      </c>
      <c r="J1" s="339" t="inlineStr">
        <is>
          <t>PD Source</t>
        </is>
      </c>
      <c r="K1" s="339" t="inlineStr">
        <is>
          <t>PIP Source</t>
        </is>
      </c>
      <c r="L1" s="339" t="inlineStr">
        <is>
          <t>UM/UIM Source</t>
        </is>
      </c>
      <c r="M1" s="339" t="inlineStr">
        <is>
          <t>BI SOL Source</t>
        </is>
      </c>
      <c r="N1" s="339" t="inlineStr">
        <is>
          <t>PD SOL Source</t>
        </is>
      </c>
      <c r="O1" s="339" t="inlineStr">
        <is>
          <t>Effective Date</t>
        </is>
      </c>
      <c r="P1" s="339" t="inlineStr">
        <is>
          <t>Recent Change / Audit Status</t>
        </is>
      </c>
      <c r="Q1" s="339" t="inlineStr">
        <is>
          <t>Notes</t>
        </is>
      </c>
      <c r="R1" s="347" t="inlineStr">
        <is>
          <t>Policy / Declarations Disclosure Summary</t>
        </is>
      </c>
      <c r="S1" s="347" t="inlineStr">
        <is>
          <t>Policy Disclosure Category</t>
        </is>
      </c>
      <c r="T1" s="347" t="inlineStr">
        <is>
          <t>Requester Covered</t>
        </is>
      </c>
      <c r="U1" s="347" t="inlineStr">
        <is>
          <t>Disclosure Deadline</t>
        </is>
      </c>
      <c r="V1" s="347" t="inlineStr">
        <is>
          <t>What Must Be Disclosed</t>
        </is>
      </c>
      <c r="W1" s="347" t="inlineStr">
        <is>
          <t>Disclosure Source</t>
        </is>
      </c>
      <c r="X1" s="347" t="inlineStr">
        <is>
          <t>Disclosure Source URL</t>
        </is>
      </c>
      <c r="Y1" s="347" t="inlineStr">
        <is>
          <t>Disclosure Gov Source Type</t>
        </is>
      </c>
      <c r="Z1" s="347" t="inlineStr">
        <is>
          <t>Disclosure Audit Status</t>
        </is>
      </c>
      <c r="AA1" s="347" t="inlineStr">
        <is>
          <t>Disclosure Notes</t>
        </is>
      </c>
    </row>
    <row r="2" ht="54.75" customHeight="1" s="355">
      <c r="A2" s="340" t="inlineStr">
        <is>
          <t>Alabama</t>
        </is>
      </c>
      <c r="B2" s="340" t="inlineStr">
        <is>
          <t>25/50</t>
        </is>
      </c>
      <c r="C2" s="340" t="inlineStr">
        <is>
          <t>25</t>
        </is>
      </c>
      <c r="D2" s="340" t="inlineStr">
        <is>
          <t>Not required</t>
        </is>
      </c>
      <c r="E2" s="340" t="inlineStr">
        <is>
          <t>Required unless rejected in writing</t>
        </is>
      </c>
      <c r="F2" s="340" t="inlineStr">
        <is>
          <t>Included within UM definition; required unless rejected</t>
        </is>
      </c>
      <c r="G2" s="340" t="inlineStr">
        <is>
          <t>2 years</t>
        </is>
      </c>
      <c r="H2" s="340" t="inlineStr">
        <is>
          <t>2 years</t>
        </is>
      </c>
      <c r="I2" s="498" t="inlineStr">
        <is>
          <t>Alabama BI minimum source</t>
        </is>
      </c>
      <c r="J2" s="498" t="inlineStr">
        <is>
          <t>Alabama PD minimum source</t>
        </is>
      </c>
      <c r="K2" s="498" t="inlineStr">
        <is>
          <t>Alabama Liability Law</t>
        </is>
      </c>
      <c r="L2" s="498" t="inlineStr">
        <is>
          <t>Alabama UM/UIM Statute §32-7-23</t>
        </is>
      </c>
      <c r="M2" s="498" t="inlineStr">
        <is>
          <t>Alabama SOL Statute §6-2-38</t>
        </is>
      </c>
      <c r="N2" s="498" t="inlineStr">
        <is>
          <t>Alabama SOL Statute §6-2-38</t>
        </is>
      </c>
      <c r="O2" s="340" t="inlineStr">
        <is>
          <t>Current</t>
        </is>
      </c>
      <c r="P2" s="340" t="inlineStr">
        <is>
          <t>Statute/regulator source used</t>
        </is>
      </c>
      <c r="Q2" s="340" t="inlineStr">
        <is>
          <t>UM/UIM rejection must be written. BI and PD source columns are split for coverage-specific traceability.</t>
        </is>
      </c>
      <c r="R2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2" s="349" t="inlineStr">
        <is>
          <t>Not located / verify</t>
        </is>
      </c>
      <c r="T2" s="349" t="inlineStr">
        <is>
          <t>Not confirmed from official government source</t>
        </is>
      </c>
      <c r="U2" s="349" t="inlineStr">
        <is>
          <t>Not confirmed</t>
        </is>
      </c>
      <c r="V2" s="349" t="inlineStr">
        <is>
          <t>Not confirmed</t>
        </is>
      </c>
      <c r="W2" s="349" t="str"/>
      <c r="X2" s="349" t="str"/>
      <c r="Y2" s="349" t="inlineStr">
        <is>
          <t>No positive government source located</t>
        </is>
      </c>
      <c r="Z2" s="349" t="inlineStr">
        <is>
          <t>Needs deeper state-specific verification before relying on this field.</t>
        </is>
      </c>
      <c r="AA2" s="349" t="inlineStr">
        <is>
          <t>This is a conservative research status, not a legal conclusion that no duty exists. It only means no direct state government source was located in this pass.</t>
        </is>
      </c>
    </row>
    <row r="3" ht="54.75" customHeight="1" s="355">
      <c r="A3" s="340" t="inlineStr">
        <is>
          <t>Alaska</t>
        </is>
      </c>
      <c r="B3" s="340" t="inlineStr">
        <is>
          <t>50/100</t>
        </is>
      </c>
      <c r="C3" s="340" t="inlineStr">
        <is>
          <t>25</t>
        </is>
      </c>
      <c r="D3" s="340" t="inlineStr">
        <is>
          <t>Not required</t>
        </is>
      </c>
      <c r="E3" s="340" t="inlineStr">
        <is>
          <t>Must be offered; may be rejected in writing</t>
        </is>
      </c>
      <c r="F3" s="340" t="inlineStr">
        <is>
          <t>Must be offered; may be rejected in writing</t>
        </is>
      </c>
      <c r="G3" s="340" t="inlineStr">
        <is>
          <t>2 years</t>
        </is>
      </c>
      <c r="H3" s="340" t="inlineStr">
        <is>
          <t>2 years</t>
        </is>
      </c>
      <c r="I3" s="498" t="inlineStr">
        <is>
          <t>Alaska BI minimum source</t>
        </is>
      </c>
      <c r="J3" s="498" t="inlineStr">
        <is>
          <t>Alaska PD minimum source</t>
        </is>
      </c>
      <c r="K3" s="498" t="inlineStr">
        <is>
          <t>Alaska Mandatory Insurance</t>
        </is>
      </c>
      <c r="L3" s="498" t="inlineStr">
        <is>
          <t>Alaska UM/UIM Statute AS 28.22.201</t>
        </is>
      </c>
      <c r="M3" s="498" t="inlineStr">
        <is>
          <t>Alaska SOL Statute AS 09.10.070</t>
        </is>
      </c>
      <c r="N3" s="498" t="inlineStr">
        <is>
          <t>Alaska SOL Statute AS 09.10.070</t>
        </is>
      </c>
      <c r="O3" s="340" t="inlineStr">
        <is>
          <t>Current</t>
        </is>
      </c>
      <c r="P3" s="340" t="inlineStr">
        <is>
          <t>Statute/regulator source used</t>
        </is>
      </c>
      <c r="Q3" s="340" t="inlineStr">
        <is>
          <t>AS 28.22.201 states UM/UIM may be rejected in writing. BI and PD source columns are split for coverage-specific traceability.</t>
        </is>
      </c>
      <c r="R3" s="349" t="inlineStr">
        <is>
          <t>First-party only source located. Alaska DOI states insurers must disclose all relevant benefits and other coverage provisions to first-party claimants.</t>
        </is>
      </c>
      <c r="S3" s="349" t="inlineStr">
        <is>
          <t>First-party / policyholder claim only</t>
        </is>
      </c>
      <c r="T3" s="349" t="inlineStr">
        <is>
          <t>First-party claimant / insured.</t>
        </is>
      </c>
      <c r="U3" s="349" t="inlineStr">
        <is>
          <t>No separate declarations-page deadline found in cited page; related first-party claim timing rules apply.</t>
        </is>
      </c>
      <c r="V3" s="349" t="inlineStr">
        <is>
          <t>All relevant benefits and other provisions of coverage under which a first-party claim may be covered.</t>
        </is>
      </c>
      <c r="W3" s="349" t="inlineStr">
        <is>
          <t>Alaska Division of Insurance claims rights; 3 AAC 26.060(1)</t>
        </is>
      </c>
      <c r="X3" s="349" t="inlineStr">
        <is>
          <t>https://www.commerce.alaska.gov/web/ins/Consumers/Rights/Claims</t>
        </is>
      </c>
      <c r="Y3" s="349" t="inlineStr">
        <is>
          <t>State insurance department guidance / regulation citation</t>
        </is>
      </c>
      <c r="Z3" s="349" t="inlineStr">
        <is>
          <t>Official regulator source located for first-party claims only.</t>
        </is>
      </c>
      <c r="AA3" s="349" t="inlineStr">
        <is>
          <t>This does not confirm a third-party claimant/attorney right to auto liability limits or declarations pages.</t>
        </is>
      </c>
    </row>
    <row r="4" ht="54.75" customHeight="1" s="355">
      <c r="A4" s="340" t="inlineStr">
        <is>
          <t>Arizona</t>
        </is>
      </c>
      <c r="B4" s="340" t="inlineStr">
        <is>
          <t>25/50</t>
        </is>
      </c>
      <c r="C4" s="340" t="inlineStr">
        <is>
          <t>15</t>
        </is>
      </c>
      <c r="D4" s="340" t="inlineStr">
        <is>
          <t>Not required</t>
        </is>
      </c>
      <c r="E4" s="340" t="inlineStr">
        <is>
          <t>Must be offered; may be rejected in writing</t>
        </is>
      </c>
      <c r="F4" s="340" t="inlineStr">
        <is>
          <t>Must be offered; may be rejected in writing</t>
        </is>
      </c>
      <c r="G4" s="340" t="inlineStr">
        <is>
          <t>2 years</t>
        </is>
      </c>
      <c r="H4" s="340" t="inlineStr">
        <is>
          <t>2 years</t>
        </is>
      </c>
      <c r="I4" s="498" t="inlineStr">
        <is>
          <t>Arizona BI minimum source</t>
        </is>
      </c>
      <c r="J4" s="498" t="inlineStr">
        <is>
          <t>Arizona PD minimum source</t>
        </is>
      </c>
      <c r="K4" s="498" t="inlineStr">
        <is>
          <t>Arizona Liability Statute §28-4009</t>
        </is>
      </c>
      <c r="L4" s="498" t="inlineStr">
        <is>
          <t>Arizona UM/UIM Statute §20-259.01</t>
        </is>
      </c>
      <c r="M4" s="498" t="inlineStr">
        <is>
          <t>Arizona SOL Statute §12-542</t>
        </is>
      </c>
      <c r="N4" s="498" t="inlineStr">
        <is>
          <t>Arizona SOL Statute §12-542</t>
        </is>
      </c>
      <c r="O4" s="340" t="inlineStr">
        <is>
          <t>Current</t>
        </is>
      </c>
      <c r="P4" s="340" t="inlineStr">
        <is>
          <t>Official statute source used</t>
        </is>
      </c>
      <c r="Q4" s="340" t="inlineStr">
        <is>
          <t>UM/UIM offer requirement under A.R.S. §20-259.01. BI and PD source columns are split for coverage-specific traceability.</t>
        </is>
      </c>
      <c r="R4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4" s="349" t="inlineStr">
        <is>
          <t>Not located / verify</t>
        </is>
      </c>
      <c r="T4" s="349" t="inlineStr">
        <is>
          <t>Not confirmed from official government source</t>
        </is>
      </c>
      <c r="U4" s="349" t="inlineStr">
        <is>
          <t>Not confirmed</t>
        </is>
      </c>
      <c r="V4" s="349" t="inlineStr">
        <is>
          <t>Not confirmed</t>
        </is>
      </c>
      <c r="W4" s="349" t="str"/>
      <c r="X4" s="349" t="str"/>
      <c r="Y4" s="349" t="inlineStr">
        <is>
          <t>No positive government source located</t>
        </is>
      </c>
      <c r="Z4" s="349" t="inlineStr">
        <is>
          <t>Needs deeper state-specific verification before relying on this field.</t>
        </is>
      </c>
      <c r="AA4" s="349" t="inlineStr">
        <is>
          <t>This is a conservative research status, not a legal conclusion that no duty exists. It only means no direct state government source was located in this pass.</t>
        </is>
      </c>
    </row>
    <row r="5" ht="54.75" customHeight="1" s="355">
      <c r="A5" s="340" t="inlineStr">
        <is>
          <t>Arkansas</t>
        </is>
      </c>
      <c r="B5" s="340" t="inlineStr">
        <is>
          <t>25/50</t>
        </is>
      </c>
      <c r="C5" s="340" t="inlineStr">
        <is>
          <t>25</t>
        </is>
      </c>
      <c r="D5" s="340" t="inlineStr">
        <is>
          <t>Not required</t>
        </is>
      </c>
      <c r="E5" s="340" t="inlineStr">
        <is>
          <t>Required unless rejected in writing</t>
        </is>
      </c>
      <c r="F5" s="340" t="inlineStr">
        <is>
          <t>Must be offered; may be rejected</t>
        </is>
      </c>
      <c r="G5" s="340" t="inlineStr">
        <is>
          <t>3 years</t>
        </is>
      </c>
      <c r="H5" s="340" t="inlineStr">
        <is>
          <t>3 years</t>
        </is>
      </c>
      <c r="I5" s="498" t="inlineStr">
        <is>
          <t>Arkansas BI minimum source</t>
        </is>
      </c>
      <c r="J5" s="498" t="inlineStr">
        <is>
          <t>Arkansas PD minimum source</t>
        </is>
      </c>
      <c r="K5" s="498" t="inlineStr">
        <is>
          <t>AR §27-22-104 mandatory liability only / no PIP listed</t>
        </is>
      </c>
      <c r="L5" s="498" t="inlineStr">
        <is>
          <t>AR §23-89-403 UM and §23-89-209 UIM requirements</t>
        </is>
      </c>
      <c r="M5" s="498" t="inlineStr">
        <is>
          <t>Arkansas SOL Statute §16-56-105</t>
        </is>
      </c>
      <c r="N5" s="498" t="inlineStr">
        <is>
          <t>Arkansas SOL Statute §16-56-105</t>
        </is>
      </c>
      <c r="O5" s="340" t="inlineStr">
        <is>
          <t>Current</t>
        </is>
      </c>
      <c r="P5" s="340" t="inlineStr">
        <is>
          <t>Corrected working statute path</t>
        </is>
      </c>
      <c r="Q5" s="340" t="inlineStr">
        <is>
          <t>UM and UIM handled in same statutory section. BI and PD source columns are split for coverage-specific traceability.</t>
        </is>
      </c>
      <c r="R5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5" s="349" t="inlineStr">
        <is>
          <t>Not located / verify</t>
        </is>
      </c>
      <c r="T5" s="349" t="inlineStr">
        <is>
          <t>Not confirmed from official government source</t>
        </is>
      </c>
      <c r="U5" s="349" t="inlineStr">
        <is>
          <t>Not confirmed</t>
        </is>
      </c>
      <c r="V5" s="349" t="inlineStr">
        <is>
          <t>Not confirmed</t>
        </is>
      </c>
      <c r="W5" s="349" t="str"/>
      <c r="X5" s="349" t="str"/>
      <c r="Y5" s="349" t="inlineStr">
        <is>
          <t>No positive government source located</t>
        </is>
      </c>
      <c r="Z5" s="349" t="inlineStr">
        <is>
          <t>Needs deeper state-specific verification before relying on this field.</t>
        </is>
      </c>
      <c r="AA5" s="349" t="inlineStr">
        <is>
          <t>This is a conservative research status, not a legal conclusion that no duty exists. It only means no direct state government source was located in this pass.</t>
        </is>
      </c>
    </row>
    <row r="6" ht="54.75" customHeight="1" s="355">
      <c r="A6" s="340" t="inlineStr">
        <is>
          <t>California</t>
        </is>
      </c>
      <c r="B6" s="340" t="inlineStr">
        <is>
          <t>30/60</t>
        </is>
      </c>
      <c r="C6" s="340" t="inlineStr">
        <is>
          <t>15</t>
        </is>
      </c>
      <c r="D6" s="340" t="inlineStr">
        <is>
          <t>Not required</t>
        </is>
      </c>
      <c r="E6" s="340" t="inlineStr">
        <is>
          <t>Must be offered; may be rejected in writing</t>
        </is>
      </c>
      <c r="F6" s="340" t="inlineStr">
        <is>
          <t>Must be offered; may be rejected in writing</t>
        </is>
      </c>
      <c r="G6" s="340" t="inlineStr">
        <is>
          <t>2 years</t>
        </is>
      </c>
      <c r="H6" s="340" t="inlineStr">
        <is>
          <t>3 years</t>
        </is>
      </c>
      <c r="I6" s="498" t="inlineStr">
        <is>
          <t>California BI minimum source</t>
        </is>
      </c>
      <c r="J6" s="498" t="inlineStr">
        <is>
          <t>California PD minimum source</t>
        </is>
      </c>
      <c r="K6" s="498" t="inlineStr">
        <is>
          <t>California Liability Statute Veh. Code §16056</t>
        </is>
      </c>
      <c r="L6" s="498" t="inlineStr">
        <is>
          <t>California UM/UIM Statute Ins. Code §11580.2</t>
        </is>
      </c>
      <c r="M6" s="498" t="inlineStr">
        <is>
          <t>California SOL Statute CCP §335.1</t>
        </is>
      </c>
      <c r="N6" s="498" t="inlineStr">
        <is>
          <t>California Property-Damage SOL CCP §338</t>
        </is>
      </c>
      <c r="O6" s="340" t="inlineStr">
        <is>
          <t>2025-01-01</t>
        </is>
      </c>
      <c r="P6" s="340" t="inlineStr">
        <is>
          <t>Recent change reflected</t>
        </is>
      </c>
      <c r="Q6" s="340" t="inlineStr">
        <is>
          <t>Liability minimums increased in 2025. PD SOL differs from BI. BI and PD source columns are split for coverage-specific traceability.</t>
        </is>
      </c>
      <c r="R6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6" s="349" t="inlineStr">
        <is>
          <t>Not located / verify</t>
        </is>
      </c>
      <c r="T6" s="349" t="inlineStr">
        <is>
          <t>Not confirmed from official government source</t>
        </is>
      </c>
      <c r="U6" s="349" t="inlineStr">
        <is>
          <t>Not confirmed</t>
        </is>
      </c>
      <c r="V6" s="349" t="inlineStr">
        <is>
          <t>Not confirmed</t>
        </is>
      </c>
      <c r="W6" s="349" t="str"/>
      <c r="X6" s="349" t="str"/>
      <c r="Y6" s="349" t="inlineStr">
        <is>
          <t>No positive government source located</t>
        </is>
      </c>
      <c r="Z6" s="349" t="inlineStr">
        <is>
          <t>Needs deeper state-specific verification before relying on this field.</t>
        </is>
      </c>
      <c r="AA6" s="349" t="inlineStr">
        <is>
          <t>This is a conservative research status, not a legal conclusion that no duty exists. It only means no direct state government source was located in this pass.</t>
        </is>
      </c>
    </row>
    <row r="7" ht="54.75" customHeight="1" s="355">
      <c r="A7" s="340" t="inlineStr">
        <is>
          <t>Colorado</t>
        </is>
      </c>
      <c r="B7" s="340" t="inlineStr">
        <is>
          <t>25/50</t>
        </is>
      </c>
      <c r="C7" s="340" t="inlineStr">
        <is>
          <t>15</t>
        </is>
      </c>
      <c r="D7" s="340" t="inlineStr">
        <is>
          <t>Not required</t>
        </is>
      </c>
      <c r="E7" s="340" t="inlineStr">
        <is>
          <t>Must be offered; may be rejected in writing</t>
        </is>
      </c>
      <c r="F7" s="340" t="inlineStr">
        <is>
          <t>Must be offered; may be rejected in writing</t>
        </is>
      </c>
      <c r="G7" s="340" t="inlineStr">
        <is>
          <t>3 years</t>
        </is>
      </c>
      <c r="H7" s="340" t="inlineStr">
        <is>
          <t>3 years</t>
        </is>
      </c>
      <c r="I7" s="498" t="inlineStr">
        <is>
          <t>Colorado BI minimum source</t>
        </is>
      </c>
      <c r="J7" s="498" t="inlineStr">
        <is>
          <t>Colorado PD minimum source</t>
        </is>
      </c>
      <c r="K7" s="498" t="inlineStr">
        <is>
          <t>CO DOI auto insurance basics / no PIP requirement</t>
        </is>
      </c>
      <c r="L7" s="498" t="inlineStr">
        <is>
          <t>CO §10-4-609 UM/UIM offer/rejection</t>
        </is>
      </c>
      <c r="M7" s="498" t="inlineStr">
        <is>
          <t>Colorado Motor Vehicle SOL §13-80-101</t>
        </is>
      </c>
      <c r="N7" s="498" t="inlineStr">
        <is>
          <t>Colorado Motor Vehicle SOL §13-80-101</t>
        </is>
      </c>
      <c r="O7" s="340" t="inlineStr">
        <is>
          <t>Current</t>
        </is>
      </c>
      <c r="P7" s="340" t="inlineStr">
        <is>
          <t>Statute source used</t>
        </is>
      </c>
      <c r="Q7" s="340" t="inlineStr">
        <is>
          <t>Motor vehicle accident SOL is 3 years. BI and PD source columns are split for coverage-specific traceability.</t>
        </is>
      </c>
      <c r="R7" s="349" t="inlineStr">
        <is>
          <t>Yes. Insurer/insured disclosure of liability coverage information to claimant or claimant attorney is required after written request.</t>
        </is>
      </c>
      <c r="S7" s="349" t="inlineStr">
        <is>
          <t>Yes - claimant / attorney</t>
        </is>
      </c>
      <c r="T7" s="349" t="inlineStr">
        <is>
          <t>Claimant or claimant attorney.</t>
        </is>
      </c>
      <c r="U7" s="349" t="inlineStr">
        <is>
          <t>30 calendar days after written request.</t>
        </is>
      </c>
      <c r="V7" s="349" t="inlineStr">
        <is>
          <t>Insurer name, insured party names as on declarations page, liability limits, coverage defenses, and a copy of the policy.</t>
        </is>
      </c>
      <c r="W7" s="349" t="inlineStr">
        <is>
          <t>Colorado HB19-1283 / CRS liability coverage disclosure</t>
        </is>
      </c>
      <c r="X7" s="349" t="inlineStr">
        <is>
          <t>https://leg.colorado.gov/bills/hb19-1283</t>
        </is>
      </c>
      <c r="Y7" s="349" t="inlineStr">
        <is>
          <t>State bill/statute summary with official legislative documents</t>
        </is>
      </c>
      <c r="Z7" s="349" t="inlineStr">
        <is>
          <t>Official Colorado legislative source located.</t>
        </is>
      </c>
      <c r="AA7" s="349" t="inlineStr">
        <is>
          <t>Colorado source explicitly references names as they appear on the declarations page and a copy of the policy.</t>
        </is>
      </c>
    </row>
    <row r="8" ht="54.75" customHeight="1" s="355">
      <c r="A8" s="340" t="inlineStr">
        <is>
          <t>Connecticut</t>
        </is>
      </c>
      <c r="B8" s="340" t="inlineStr">
        <is>
          <t>25/50</t>
        </is>
      </c>
      <c r="C8" s="340" t="inlineStr">
        <is>
          <t>25</t>
        </is>
      </c>
      <c r="D8" s="340" t="inlineStr">
        <is>
          <t>Not required</t>
        </is>
      </c>
      <c r="E8" s="340" t="inlineStr">
        <is>
          <t>Required</t>
        </is>
      </c>
      <c r="F8" s="340" t="inlineStr">
        <is>
          <t>Required within UM/UIM framework</t>
        </is>
      </c>
      <c r="G8" s="340" t="inlineStr">
        <is>
          <t>2 years</t>
        </is>
      </c>
      <c r="H8" s="340" t="inlineStr">
        <is>
          <t>2 years</t>
        </is>
      </c>
      <c r="I8" s="498" t="inlineStr">
        <is>
          <t>Connecticut BI minimum source</t>
        </is>
      </c>
      <c r="J8" s="498" t="inlineStr">
        <is>
          <t>Connecticut PD minimum source</t>
        </is>
      </c>
      <c r="K8" s="498" t="inlineStr">
        <is>
          <t>Connecticut Liability Statute §14-112</t>
        </is>
      </c>
      <c r="L8" s="498" t="inlineStr">
        <is>
          <t>Connecticut UM/UIM Statute §38a-336</t>
        </is>
      </c>
      <c r="M8" s="498" t="inlineStr">
        <is>
          <t>Connecticut SOL Statute §52-584</t>
        </is>
      </c>
      <c r="N8" s="498" t="inlineStr">
        <is>
          <t>Connecticut SOL Statute §52-584</t>
        </is>
      </c>
      <c r="O8" s="340" t="inlineStr">
        <is>
          <t>Current</t>
        </is>
      </c>
      <c r="P8" s="340" t="inlineStr">
        <is>
          <t>Official statute source used</t>
        </is>
      </c>
      <c r="Q8" s="340" t="inlineStr">
        <is>
          <t>UM/UIM minimums tied to liability requirements. BI and PD source columns are split for coverage-specific traceability.</t>
        </is>
      </c>
      <c r="R8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8" s="349" t="inlineStr">
        <is>
          <t>Not located / verify</t>
        </is>
      </c>
      <c r="T8" s="349" t="inlineStr">
        <is>
          <t>Not confirmed from official government source</t>
        </is>
      </c>
      <c r="U8" s="349" t="inlineStr">
        <is>
          <t>Not confirmed</t>
        </is>
      </c>
      <c r="V8" s="349" t="inlineStr">
        <is>
          <t>Not confirmed</t>
        </is>
      </c>
      <c r="W8" s="349" t="str"/>
      <c r="X8" s="349" t="str"/>
      <c r="Y8" s="349" t="inlineStr">
        <is>
          <t>No positive government source located</t>
        </is>
      </c>
      <c r="Z8" s="349" t="inlineStr">
        <is>
          <t>Needs deeper state-specific verification before relying on this field.</t>
        </is>
      </c>
      <c r="AA8" s="349" t="inlineStr">
        <is>
          <t>This is a conservative research status, not a legal conclusion that no duty exists. It only means no direct state government source was located in this pass.</t>
        </is>
      </c>
    </row>
    <row r="9" ht="54.75" customHeight="1" s="355">
      <c r="A9" s="340" t="inlineStr">
        <is>
          <t>Delaware</t>
        </is>
      </c>
      <c r="B9" s="340" t="inlineStr">
        <is>
          <t>25/50</t>
        </is>
      </c>
      <c r="C9" s="340" t="inlineStr">
        <is>
          <t>10</t>
        </is>
      </c>
      <c r="D9" s="340" t="inlineStr">
        <is>
          <t>15,000 / 30,000</t>
        </is>
      </c>
      <c r="E9" s="340" t="inlineStr">
        <is>
          <t>Must be offered; may be rejected in writing</t>
        </is>
      </c>
      <c r="F9" s="340" t="inlineStr">
        <is>
          <t>Must be offered; may be rejected in writing</t>
        </is>
      </c>
      <c r="G9" s="340" t="inlineStr">
        <is>
          <t>2 years</t>
        </is>
      </c>
      <c r="H9" s="340" t="inlineStr">
        <is>
          <t>2 years</t>
        </is>
      </c>
      <c r="I9" s="498" t="inlineStr">
        <is>
          <t>Delaware BI minimum source</t>
        </is>
      </c>
      <c r="J9" s="498" t="inlineStr">
        <is>
          <t>Delaware PD minimum source</t>
        </is>
      </c>
      <c r="K9" s="498" t="inlineStr">
        <is>
          <t>DE 21 Del. C. §2118 PIP requirement</t>
        </is>
      </c>
      <c r="L9" s="498" t="inlineStr">
        <is>
          <t>DE 18 Del. C. §3902 UM/UIM offer/rejection</t>
        </is>
      </c>
      <c r="M9" s="498" t="inlineStr">
        <is>
          <t>Delaware SOL Statute 10 Del. C. §8107</t>
        </is>
      </c>
      <c r="N9" s="498" t="inlineStr">
        <is>
          <t>Delaware SOL Statute 10 Del. C. §8107</t>
        </is>
      </c>
      <c r="O9" s="340" t="inlineStr">
        <is>
          <t>Current</t>
        </is>
      </c>
      <c r="P9" s="340" t="inlineStr">
        <is>
          <t>Official statute source used</t>
        </is>
      </c>
      <c r="Q9" s="340" t="inlineStr">
        <is>
          <t>Do not classify Delaware UM/UIM as fixed mandatory 25/50; it is offer/rejection-based. BI and PD source columns are split for coverage-specific traceability. PIP source corrected to Title 21 §2118; prior link pointed to Title 21 Ch. 29 and did not directly support general PIP requirement.</t>
        </is>
      </c>
      <c r="R9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9" s="349" t="inlineStr">
        <is>
          <t>Not located / verify</t>
        </is>
      </c>
      <c r="T9" s="349" t="inlineStr">
        <is>
          <t>Not confirmed from official government source</t>
        </is>
      </c>
      <c r="U9" s="349" t="inlineStr">
        <is>
          <t>Not confirmed</t>
        </is>
      </c>
      <c r="V9" s="349" t="inlineStr">
        <is>
          <t>Not confirmed</t>
        </is>
      </c>
      <c r="W9" s="349" t="str"/>
      <c r="X9" s="349" t="str"/>
      <c r="Y9" s="349" t="inlineStr">
        <is>
          <t>No positive government source located</t>
        </is>
      </c>
      <c r="Z9" s="349" t="inlineStr">
        <is>
          <t>Needs deeper state-specific verification before relying on this field.</t>
        </is>
      </c>
      <c r="AA9" s="349" t="inlineStr">
        <is>
          <t>This is a conservative research status, not a legal conclusion that no duty exists. It only means no direct state government source was located in this pass.</t>
        </is>
      </c>
    </row>
    <row r="10" ht="54.75" customHeight="1" s="355">
      <c r="A10" s="340" t="inlineStr">
        <is>
          <t>Florida</t>
        </is>
      </c>
      <c r="B10" s="340" t="inlineStr">
        <is>
          <t>Not required</t>
        </is>
      </c>
      <c r="C10" s="340" t="inlineStr">
        <is>
          <t>10</t>
        </is>
      </c>
      <c r="D10" s="340" t="inlineStr">
        <is>
          <t>10,000</t>
        </is>
      </c>
      <c r="E10" s="340" t="inlineStr">
        <is>
          <t>Must be offered; may be rejected in writing</t>
        </is>
      </c>
      <c r="F10" s="340" t="inlineStr">
        <is>
          <t>Included within UM statute; may be rejected</t>
        </is>
      </c>
      <c r="G10" s="340" t="inlineStr">
        <is>
          <t>2 years</t>
        </is>
      </c>
      <c r="H10" s="340" t="inlineStr">
        <is>
          <t>2 years</t>
        </is>
      </c>
      <c r="I10" s="498" t="inlineStr">
        <is>
          <t>Florida BI minimum source</t>
        </is>
      </c>
      <c r="J10" s="498" t="inlineStr">
        <is>
          <t>Florida PD minimum source</t>
        </is>
      </c>
      <c r="K10" s="498" t="inlineStr">
        <is>
          <t>Florida FLHSMV Insurance Requirements</t>
        </is>
      </c>
      <c r="L10" s="498" t="inlineStr">
        <is>
          <t>Florida UM/UIM Statute §627.727</t>
        </is>
      </c>
      <c r="M10" s="498" t="inlineStr">
        <is>
          <t>Florida SOL Statute §95.11</t>
        </is>
      </c>
      <c r="N10" s="498" t="inlineStr">
        <is>
          <t>Florida SOL Statute §95.11</t>
        </is>
      </c>
      <c r="O10" s="340" t="inlineStr">
        <is>
          <t>2023-03-24 SOL change</t>
        </is>
      </c>
      <c r="P10" s="340" t="inlineStr">
        <is>
          <t>Official regulator/statute source used</t>
        </is>
      </c>
      <c r="Q10" s="340" t="inlineStr">
        <is>
          <t>Standard FL registration requires PIP and PD; BI may be required in specific circumstances. BI and PD source columns are split for coverage-specific traceability.</t>
        </is>
      </c>
      <c r="R10" s="349" t="inlineStr">
        <is>
          <t>Yes. Insurer must disclose liability coverage information after written request; statute also addresses policy-copy access.</t>
        </is>
      </c>
      <c r="S10" s="349" t="inlineStr">
        <is>
          <t>Yes - claimant / attorney</t>
        </is>
      </c>
      <c r="T10" s="349" t="inlineStr">
        <is>
          <t>Claimant or claimant attorney; insured/agent must disclose known insurer name/coverage and forward request.</t>
        </is>
      </c>
      <c r="U10" s="349" t="inlineStr">
        <is>
          <t>30 days after written request for admitted insurers; surplus-lines source noted separately uses 60 days.</t>
        </is>
      </c>
      <c r="V10" s="349" t="inlineStr">
        <is>
          <t>Known liability policies including excess/umbrella: insurer name, insured names, liability limits, coverage defenses, and copy/inspection information as applicable.</t>
        </is>
      </c>
      <c r="W10" s="349" t="inlineStr">
        <is>
          <t>Florida Statutes §627.4137; see also surplus lines §626.9372</t>
        </is>
      </c>
      <c r="X10" s="349" t="inlineStr">
        <is>
          <t>https://www.leg.state.fl.us/Statutes/index.cfm?App_mode=Display_Statute&amp;URL=0600-0699/0627/Sections/0627.4137.html</t>
        </is>
      </c>
      <c r="Y10" s="349" t="inlineStr">
        <is>
          <t>State statute</t>
        </is>
      </c>
      <c r="Z10" s="349" t="inlineStr">
        <is>
          <t>Official statute source located.</t>
        </is>
      </c>
      <c r="AA10" s="349" t="inlineStr">
        <is>
          <t>Florida has one of the clearer auto/liability disclosure statutes. If using for surplus-lines coverage, also check §626.9372.</t>
        </is>
      </c>
    </row>
    <row r="11" ht="54.75" customHeight="1" s="355">
      <c r="A11" s="340" t="inlineStr">
        <is>
          <t>Georgia</t>
        </is>
      </c>
      <c r="B11" s="340" t="inlineStr">
        <is>
          <t>25/50</t>
        </is>
      </c>
      <c r="C11" s="340" t="inlineStr">
        <is>
          <t>25</t>
        </is>
      </c>
      <c r="D11" s="340" t="inlineStr">
        <is>
          <t>Not required</t>
        </is>
      </c>
      <c r="E11" s="340" t="inlineStr">
        <is>
          <t>Must be offered; may be rejected or reduced in writing</t>
        </is>
      </c>
      <c r="F11" s="340" t="inlineStr">
        <is>
          <t>Must be offered; Georgia has add-on/reduced UM structure</t>
        </is>
      </c>
      <c r="G11" s="340" t="inlineStr">
        <is>
          <t>2 years</t>
        </is>
      </c>
      <c r="H11" s="340" t="inlineStr">
        <is>
          <t>4 years</t>
        </is>
      </c>
      <c r="I11" s="498" t="inlineStr">
        <is>
          <t>Georgia BI minimum source</t>
        </is>
      </c>
      <c r="J11" s="498" t="inlineStr">
        <is>
          <t>Georgia PD minimum source</t>
        </is>
      </c>
      <c r="K11" s="498" t="inlineStr">
        <is>
          <t>GA OCI auto insurance requirements / no PIP listed</t>
        </is>
      </c>
      <c r="L11" s="498" t="inlineStr">
        <is>
          <t>GA OCI uninsured motorist coverage information</t>
        </is>
      </c>
      <c r="M11" s="498" t="inlineStr">
        <is>
          <t>Georgia Personal-Injury SOL §9-3-33</t>
        </is>
      </c>
      <c r="N11" s="498" t="inlineStr">
        <is>
          <t>Georgia Property-Damage SOL §9-3-32</t>
        </is>
      </c>
      <c r="O11" s="340" t="inlineStr">
        <is>
          <t>Current</t>
        </is>
      </c>
      <c r="P11" s="340" t="inlineStr">
        <is>
          <t>Corrected source</t>
        </is>
      </c>
      <c r="Q11" s="340" t="inlineStr">
        <is>
          <t>Georgia UM/UIM includes add-on and reduced options. PD SOL differs from BI. BI and PD source columns are split for coverage-specific traceability.</t>
        </is>
      </c>
      <c r="R11" s="349" t="inlineStr">
        <is>
          <t>Yes. Official Georgia legislative text shows disclosure to claimant or attorney of known insurers/policy information after written request.</t>
        </is>
      </c>
      <c r="S11" s="349" t="inlineStr">
        <is>
          <t>Yes - claimant / attorney</t>
        </is>
      </c>
      <c r="T11" s="349" t="inlineStr">
        <is>
          <t>Claimant or claimant attorney.</t>
        </is>
      </c>
      <c r="U11" s="349" t="inlineStr">
        <is>
          <t>30 days after written request per official legislative text located.</t>
        </is>
      </c>
      <c r="V11" s="349" t="inlineStr">
        <is>
          <t>Known insurer(s) that may be liable and related coverage information; verify current codification before relying.</t>
        </is>
      </c>
      <c r="W11" s="349" t="inlineStr">
        <is>
          <t>Georgia General Assembly legislation document (2019-2020)</t>
        </is>
      </c>
      <c r="X11" s="349" t="inlineStr">
        <is>
          <t>https://www.legis.ga.gov/api/legislation/document/20192020/192259</t>
        </is>
      </c>
      <c r="Y11" s="349" t="inlineStr">
        <is>
          <t>State legislative document</t>
        </is>
      </c>
      <c r="Z11" s="349" t="inlineStr">
        <is>
          <t>Official legislative source located; current code section should be verified.</t>
        </is>
      </c>
      <c r="AA11" s="349" t="inlineStr">
        <is>
          <t>Because the accessible official source is legislative text rather than a current code portal section, this row is marked for codification verification.</t>
        </is>
      </c>
    </row>
    <row r="12" ht="54.75" customHeight="1" s="355">
      <c r="A12" s="340" t="inlineStr">
        <is>
          <t>Hawaii</t>
        </is>
      </c>
      <c r="B12" s="340" t="inlineStr">
        <is>
          <t>40/80</t>
        </is>
      </c>
      <c r="C12" s="340" t="inlineStr">
        <is>
          <t>20</t>
        </is>
      </c>
      <c r="D12" s="340" t="inlineStr">
        <is>
          <t>10,000</t>
        </is>
      </c>
      <c r="E12" s="340" t="inlineStr">
        <is>
          <t>Must be offered; may be rejected in writing</t>
        </is>
      </c>
      <c r="F12" s="340" t="inlineStr">
        <is>
          <t>Must be offered; may be rejected in writing</t>
        </is>
      </c>
      <c r="G12" s="340" t="inlineStr">
        <is>
          <t>2 years</t>
        </is>
      </c>
      <c r="H12" s="340" t="inlineStr">
        <is>
          <t>2 years</t>
        </is>
      </c>
      <c r="I12" s="498" t="inlineStr">
        <is>
          <t>Hawaii BI minimum source</t>
        </is>
      </c>
      <c r="J12" s="498" t="inlineStr">
        <is>
          <t>Hawaii PD minimum source</t>
        </is>
      </c>
      <c r="K12" s="498" t="inlineStr">
        <is>
          <t>Hawaii 2026 Minimum Limits FAQ</t>
        </is>
      </c>
      <c r="L12" s="498" t="inlineStr">
        <is>
          <t>Hawaii UM/UIM Statute §431:10C-301</t>
        </is>
      </c>
      <c r="M12" s="498" t="inlineStr">
        <is>
          <t>Hawaii SOL Statute §657-7</t>
        </is>
      </c>
      <c r="N12" s="498" t="inlineStr">
        <is>
          <t>Hawaii SOL Statute §657-7</t>
        </is>
      </c>
      <c r="O12" s="340" t="inlineStr">
        <is>
          <t>2026-01-01</t>
        </is>
      </c>
      <c r="P12" s="340" t="inlineStr">
        <is>
          <t>Recent change reflected; outdated Justia liability source removed</t>
        </is>
      </c>
      <c r="Q12" s="340" t="inlineStr">
        <is>
          <t>Minimum liability limits increased from 20/40/10 to 40/80/20 in 2026. BI and PD source columns are split for coverage-specific traceability.</t>
        </is>
      </c>
      <c r="R12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12" s="349" t="inlineStr">
        <is>
          <t>Not located / verify</t>
        </is>
      </c>
      <c r="T12" s="349" t="inlineStr">
        <is>
          <t>Not confirmed from official government source</t>
        </is>
      </c>
      <c r="U12" s="349" t="inlineStr">
        <is>
          <t>Not confirmed</t>
        </is>
      </c>
      <c r="V12" s="349" t="inlineStr">
        <is>
          <t>Not confirmed</t>
        </is>
      </c>
      <c r="W12" s="349" t="str"/>
      <c r="X12" s="349" t="str"/>
      <c r="Y12" s="349" t="inlineStr">
        <is>
          <t>No positive government source located</t>
        </is>
      </c>
      <c r="Z12" s="349" t="inlineStr">
        <is>
          <t>Needs deeper state-specific verification before relying on this field.</t>
        </is>
      </c>
      <c r="AA12" s="349" t="inlineStr">
        <is>
          <t>This is a conservative research status, not a legal conclusion that no duty exists. It only means no direct state government source was located in this pass.</t>
        </is>
      </c>
    </row>
    <row r="13" ht="54.75" customHeight="1" s="355">
      <c r="A13" s="340" t="inlineStr">
        <is>
          <t>Idaho</t>
        </is>
      </c>
      <c r="B13" s="340" t="inlineStr">
        <is>
          <t>25/50</t>
        </is>
      </c>
      <c r="C13" s="340" t="inlineStr">
        <is>
          <t>15</t>
        </is>
      </c>
      <c r="D13" s="340" t="inlineStr">
        <is>
          <t>Not required</t>
        </is>
      </c>
      <c r="E13" s="340" t="inlineStr">
        <is>
          <t>Must be offered; may be rejected in writing</t>
        </is>
      </c>
      <c r="F13" s="340" t="inlineStr">
        <is>
          <t>Must be offered; may be rejected in writing</t>
        </is>
      </c>
      <c r="G13" s="340" t="inlineStr">
        <is>
          <t>2 years</t>
        </is>
      </c>
      <c r="H13" s="340" t="inlineStr">
        <is>
          <t>3 years</t>
        </is>
      </c>
      <c r="I13" s="498" t="inlineStr">
        <is>
          <t>Idaho BI minimum source</t>
        </is>
      </c>
      <c r="J13" s="498" t="inlineStr">
        <is>
          <t>Idaho PD minimum source</t>
        </is>
      </c>
      <c r="K13" s="498" t="inlineStr">
        <is>
          <t>Idaho Required Auto Coverage</t>
        </is>
      </c>
      <c r="L13" s="498" t="inlineStr">
        <is>
          <t>Idaho UM/UIM Statute §41-2502</t>
        </is>
      </c>
      <c r="M13" s="498" t="inlineStr">
        <is>
          <t>Idaho SOL Statute §5-219</t>
        </is>
      </c>
      <c r="N13" s="498" t="inlineStr">
        <is>
          <t>Idaho Property-Damage SOL §5-218</t>
        </is>
      </c>
      <c r="O13" s="340" t="inlineStr">
        <is>
          <t>Current</t>
        </is>
      </c>
      <c r="P13" s="340" t="inlineStr">
        <is>
          <t>Corrected to official DOI source</t>
        </is>
      </c>
      <c r="Q13" s="340" t="inlineStr">
        <is>
          <t>Official DOI page lists required coverage in readable format. PD SOL differs from BI. BI and PD source columns are split for coverage-specific traceability.</t>
        </is>
      </c>
      <c r="R13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13" s="349" t="inlineStr">
        <is>
          <t>Not located / verify</t>
        </is>
      </c>
      <c r="T13" s="349" t="inlineStr">
        <is>
          <t>Not confirmed from official government source</t>
        </is>
      </c>
      <c r="U13" s="349" t="inlineStr">
        <is>
          <t>Not confirmed</t>
        </is>
      </c>
      <c r="V13" s="349" t="inlineStr">
        <is>
          <t>Not confirmed</t>
        </is>
      </c>
      <c r="W13" s="349" t="str"/>
      <c r="X13" s="349" t="str"/>
      <c r="Y13" s="349" t="inlineStr">
        <is>
          <t>No positive government source located</t>
        </is>
      </c>
      <c r="Z13" s="349" t="inlineStr">
        <is>
          <t>Needs deeper state-specific verification before relying on this field.</t>
        </is>
      </c>
      <c r="AA13" s="349" t="inlineStr">
        <is>
          <t>This is a conservative research status, not a legal conclusion that no duty exists. It only means no direct state government source was located in this pass.</t>
        </is>
      </c>
    </row>
    <row r="14" ht="54.75" customHeight="1" s="355">
      <c r="A14" s="340" t="inlineStr">
        <is>
          <t>Illinois</t>
        </is>
      </c>
      <c r="B14" s="340" t="inlineStr">
        <is>
          <t>25/50</t>
        </is>
      </c>
      <c r="C14" s="340" t="inlineStr">
        <is>
          <t>20</t>
        </is>
      </c>
      <c r="D14" s="340" t="inlineStr">
        <is>
          <t>Not required</t>
        </is>
      </c>
      <c r="E14" s="340" t="inlineStr">
        <is>
          <t>Required</t>
        </is>
      </c>
      <c r="F14" s="340" t="inlineStr">
        <is>
          <t>UIM required when UM limits exceed statutory threshold / offered by statute</t>
        </is>
      </c>
      <c r="G14" s="340" t="inlineStr">
        <is>
          <t>2 years</t>
        </is>
      </c>
      <c r="H14" s="340" t="inlineStr">
        <is>
          <t>5 years</t>
        </is>
      </c>
      <c r="I14" s="498" t="inlineStr">
        <is>
          <t>Illinois BI minimum source</t>
        </is>
      </c>
      <c r="J14" s="498" t="inlineStr">
        <is>
          <t>Illinois PD minimum source</t>
        </is>
      </c>
      <c r="K14" s="498" t="inlineStr">
        <is>
          <t>Illinois Auto Insurance Shopping Guide</t>
        </is>
      </c>
      <c r="L14" s="498" t="inlineStr">
        <is>
          <t>Illinois UM/UIM Statute 215 ILCS 5/143a</t>
        </is>
      </c>
      <c r="M14" s="498" t="inlineStr">
        <is>
          <t>Illinois SOL Statute 735 ILCS 5/13-202</t>
        </is>
      </c>
      <c r="N14" s="498" t="inlineStr">
        <is>
          <t>Illinois Property-Damage SOL 735 ILCS 5/13-205</t>
        </is>
      </c>
      <c r="O14" s="340" t="inlineStr">
        <is>
          <t>Current</t>
        </is>
      </c>
      <c r="P14" s="340" t="inlineStr">
        <is>
          <t>Corrected source</t>
        </is>
      </c>
      <c r="Q14" s="340" t="inlineStr">
        <is>
          <t>UIM requirements are more nuanced than UM; source retained for statutory framework. PD SOL differs from BI. BI and PD source columns are split for coverage-specific traceability.</t>
        </is>
      </c>
      <c r="R14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14" s="349" t="inlineStr">
        <is>
          <t>Not located / verify</t>
        </is>
      </c>
      <c r="T14" s="349" t="inlineStr">
        <is>
          <t>Not confirmed from official government source</t>
        </is>
      </c>
      <c r="U14" s="349" t="inlineStr">
        <is>
          <t>Not confirmed</t>
        </is>
      </c>
      <c r="V14" s="349" t="inlineStr">
        <is>
          <t>Not confirmed</t>
        </is>
      </c>
      <c r="W14" s="349" t="str"/>
      <c r="X14" s="349" t="str"/>
      <c r="Y14" s="349" t="inlineStr">
        <is>
          <t>No positive government source located</t>
        </is>
      </c>
      <c r="Z14" s="349" t="inlineStr">
        <is>
          <t>Needs deeper state-specific verification before relying on this field.</t>
        </is>
      </c>
      <c r="AA14" s="349" t="inlineStr">
        <is>
          <t>This is a conservative research status, not a legal conclusion that no duty exists. It only means no direct state government source was located in this pass.</t>
        </is>
      </c>
    </row>
    <row r="15" ht="54.75" customHeight="1" s="355">
      <c r="A15" s="340" t="inlineStr">
        <is>
          <t>Indiana</t>
        </is>
      </c>
      <c r="B15" s="340" t="inlineStr">
        <is>
          <t>25/50</t>
        </is>
      </c>
      <c r="C15" s="340" t="inlineStr">
        <is>
          <t>25</t>
        </is>
      </c>
      <c r="D15" s="340" t="inlineStr">
        <is>
          <t>Not required</t>
        </is>
      </c>
      <c r="E15" s="340" t="inlineStr">
        <is>
          <t>Must be offered; may be rejected in writing</t>
        </is>
      </c>
      <c r="F15" s="340" t="inlineStr">
        <is>
          <t>Must be offered; may be rejected in writing</t>
        </is>
      </c>
      <c r="G15" s="340" t="inlineStr">
        <is>
          <t>2 years</t>
        </is>
      </c>
      <c r="H15" s="340" t="inlineStr">
        <is>
          <t>2 years</t>
        </is>
      </c>
      <c r="I15" s="498" t="inlineStr">
        <is>
          <t>Indiana BI minimum source</t>
        </is>
      </c>
      <c r="J15" s="498" t="inlineStr">
        <is>
          <t>Indiana PD minimum source</t>
        </is>
      </c>
      <c r="K15" s="498" t="inlineStr">
        <is>
          <t>Indiana Financial Responsibility §9-25-4-5</t>
        </is>
      </c>
      <c r="L15" s="498" t="inlineStr">
        <is>
          <t>Indiana UM/UIM Statute §27-7-5-2</t>
        </is>
      </c>
      <c r="M15" s="498" t="inlineStr">
        <is>
          <t>Indiana SOL Statute §34-11-2-4</t>
        </is>
      </c>
      <c r="N15" s="498" t="inlineStr">
        <is>
          <t>Indiana SOL Statute §34-11-2-4</t>
        </is>
      </c>
      <c r="O15" s="340" t="inlineStr">
        <is>
          <t>Current</t>
        </is>
      </c>
      <c r="P15" s="340" t="inlineStr">
        <is>
          <t>Statute source used</t>
        </is>
      </c>
      <c r="Q15" s="340" t="inlineStr">
        <is>
          <t>UM/UIM rejection must be written. BI and PD source columns are split for coverage-specific traceability.</t>
        </is>
      </c>
      <c r="R15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15" s="349" t="inlineStr">
        <is>
          <t>Not located / verify</t>
        </is>
      </c>
      <c r="T15" s="349" t="inlineStr">
        <is>
          <t>Not confirmed from official government source</t>
        </is>
      </c>
      <c r="U15" s="349" t="inlineStr">
        <is>
          <t>Not confirmed</t>
        </is>
      </c>
      <c r="V15" s="349" t="inlineStr">
        <is>
          <t>Not confirmed</t>
        </is>
      </c>
      <c r="W15" s="349" t="str"/>
      <c r="X15" s="349" t="str"/>
      <c r="Y15" s="349" t="inlineStr">
        <is>
          <t>No positive government source located</t>
        </is>
      </c>
      <c r="Z15" s="349" t="inlineStr">
        <is>
          <t>Needs deeper state-specific verification before relying on this field.</t>
        </is>
      </c>
      <c r="AA15" s="349" t="inlineStr">
        <is>
          <t>This is a conservative research status, not a legal conclusion that no duty exists. It only means no direct state government source was located in this pass.</t>
        </is>
      </c>
    </row>
    <row r="16" ht="54.75" customHeight="1" s="355">
      <c r="A16" s="340" t="inlineStr">
        <is>
          <t>Iowa</t>
        </is>
      </c>
      <c r="B16" s="340" t="inlineStr">
        <is>
          <t>20/40</t>
        </is>
      </c>
      <c r="C16" s="340" t="inlineStr">
        <is>
          <t>15</t>
        </is>
      </c>
      <c r="D16" s="340" t="inlineStr">
        <is>
          <t>Not required</t>
        </is>
      </c>
      <c r="E16" s="340" t="inlineStr">
        <is>
          <t>Required unless rejected in writing</t>
        </is>
      </c>
      <c r="F16" s="340" t="inlineStr">
        <is>
          <t>Must be offered; may be rejected</t>
        </is>
      </c>
      <c r="G16" s="340" t="inlineStr">
        <is>
          <t>2 years</t>
        </is>
      </c>
      <c r="H16" s="340" t="inlineStr">
        <is>
          <t>5 years</t>
        </is>
      </c>
      <c r="I16" s="498" t="inlineStr">
        <is>
          <t>Iowa BI minimum source</t>
        </is>
      </c>
      <c r="J16" s="498" t="inlineStr">
        <is>
          <t>Iowa PD minimum source</t>
        </is>
      </c>
      <c r="K16" s="498" t="inlineStr">
        <is>
          <t>Iowa Financial Responsibility §321A.1</t>
        </is>
      </c>
      <c r="L16" s="498" t="inlineStr">
        <is>
          <t>Iowa UM/UIM Statute §516A.1</t>
        </is>
      </c>
      <c r="M16" s="498" t="inlineStr">
        <is>
          <t>Iowa SOL Statute §614.1</t>
        </is>
      </c>
      <c r="N16" s="498" t="inlineStr">
        <is>
          <t>Iowa Property-Damage SOL §614.1</t>
        </is>
      </c>
      <c r="O16" s="340" t="inlineStr">
        <is>
          <t>Current</t>
        </is>
      </c>
      <c r="P16" s="340" t="inlineStr">
        <is>
          <t>Statute source used</t>
        </is>
      </c>
      <c r="Q16" s="340" t="inlineStr">
        <is>
          <t>UM/UIM rejection wording differs by coverage type. PD SOL differs from BI. BI and PD source columns are split for coverage-specific traceability.</t>
        </is>
      </c>
      <c r="R16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16" s="349" t="inlineStr">
        <is>
          <t>Not located / verify</t>
        </is>
      </c>
      <c r="T16" s="349" t="inlineStr">
        <is>
          <t>Not confirmed from official government source</t>
        </is>
      </c>
      <c r="U16" s="349" t="inlineStr">
        <is>
          <t>Not confirmed</t>
        </is>
      </c>
      <c r="V16" s="349" t="inlineStr">
        <is>
          <t>Not confirmed</t>
        </is>
      </c>
      <c r="W16" s="349" t="str"/>
      <c r="X16" s="349" t="str"/>
      <c r="Y16" s="349" t="inlineStr">
        <is>
          <t>No positive government source located</t>
        </is>
      </c>
      <c r="Z16" s="349" t="inlineStr">
        <is>
          <t>Needs deeper state-specific verification before relying on this field.</t>
        </is>
      </c>
      <c r="AA16" s="349" t="inlineStr">
        <is>
          <t>This is a conservative research status, not a legal conclusion that no duty exists. It only means no direct state government source was located in this pass.</t>
        </is>
      </c>
    </row>
    <row r="17" ht="54.75" customHeight="1" s="355">
      <c r="A17" s="340" t="inlineStr">
        <is>
          <t>Kansas</t>
        </is>
      </c>
      <c r="B17" s="340" t="inlineStr">
        <is>
          <t>25/50</t>
        </is>
      </c>
      <c r="C17" s="340" t="inlineStr">
        <is>
          <t>25</t>
        </is>
      </c>
      <c r="D17" s="340" t="inlineStr">
        <is>
          <t>Required; benefits defined by no-fault statute</t>
        </is>
      </c>
      <c r="E17" s="340" t="inlineStr">
        <is>
          <t>Required unless rejected in writing</t>
        </is>
      </c>
      <c r="F17" s="340" t="inlineStr">
        <is>
          <t>Required unless rejected in writing</t>
        </is>
      </c>
      <c r="G17" s="340" t="inlineStr">
        <is>
          <t>2 years</t>
        </is>
      </c>
      <c r="H17" s="340" t="inlineStr">
        <is>
          <t>2 years</t>
        </is>
      </c>
      <c r="I17" s="498" t="inlineStr">
        <is>
          <t>Kansas BI minimum source</t>
        </is>
      </c>
      <c r="J17" s="498" t="inlineStr">
        <is>
          <t>Kansas PD minimum source</t>
        </is>
      </c>
      <c r="K17" s="498" t="inlineStr">
        <is>
          <t>Kansas No-Fault Benefits §40-3103</t>
        </is>
      </c>
      <c r="L17" s="498" t="inlineStr">
        <is>
          <t>Kansas UM/UIM Statute §40-284</t>
        </is>
      </c>
      <c r="M17" s="498" t="inlineStr">
        <is>
          <t>Kansas SOL Statute §60-513</t>
        </is>
      </c>
      <c r="N17" s="498" t="inlineStr">
        <is>
          <t>Kansas SOL Statute §60-513</t>
        </is>
      </c>
      <c r="O17" s="340" t="inlineStr">
        <is>
          <t>Current</t>
        </is>
      </c>
      <c r="P17" s="340" t="inlineStr">
        <is>
          <t>Statute source used</t>
        </is>
      </c>
      <c r="Q17" s="340" t="inlineStr">
        <is>
          <t>Kansas is no-fault; PIP benefits are itemized rather than one simple BI-like number. BI and PD source columns are split for coverage-specific traceability.</t>
        </is>
      </c>
      <c r="R17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17" s="349" t="inlineStr">
        <is>
          <t>Not located / verify</t>
        </is>
      </c>
      <c r="T17" s="349" t="inlineStr">
        <is>
          <t>Not confirmed from official government source</t>
        </is>
      </c>
      <c r="U17" s="349" t="inlineStr">
        <is>
          <t>Not confirmed</t>
        </is>
      </c>
      <c r="V17" s="349" t="inlineStr">
        <is>
          <t>Not confirmed</t>
        </is>
      </c>
      <c r="W17" s="349" t="str"/>
      <c r="X17" s="349" t="str"/>
      <c r="Y17" s="349" t="inlineStr">
        <is>
          <t>No positive government source located</t>
        </is>
      </c>
      <c r="Z17" s="349" t="inlineStr">
        <is>
          <t>Needs deeper state-specific verification before relying on this field.</t>
        </is>
      </c>
      <c r="AA17" s="349" t="inlineStr">
        <is>
          <t>This is a conservative research status, not a legal conclusion that no duty exists. It only means no direct state government source was located in this pass.</t>
        </is>
      </c>
    </row>
    <row r="18" ht="54.75" customHeight="1" s="355">
      <c r="A18" s="340" t="inlineStr">
        <is>
          <t>Kentucky</t>
        </is>
      </c>
      <c r="B18" s="340" t="inlineStr">
        <is>
          <t>25/50</t>
        </is>
      </c>
      <c r="C18" s="340" t="inlineStr">
        <is>
          <t>25</t>
        </is>
      </c>
      <c r="D18" s="340" t="inlineStr">
        <is>
          <t>Required; basic reparations benefits $10,000</t>
        </is>
      </c>
      <c r="E18" s="340" t="inlineStr">
        <is>
          <t>Must be offered; may be rejected in writing</t>
        </is>
      </c>
      <c r="F18" s="340" t="inlineStr">
        <is>
          <t>Must be offered; may be rejected in writing</t>
        </is>
      </c>
      <c r="G18" s="340" t="inlineStr">
        <is>
          <t>2 years</t>
        </is>
      </c>
      <c r="H18" s="340" t="inlineStr">
        <is>
          <t>2 years</t>
        </is>
      </c>
      <c r="I18" s="498" t="inlineStr">
        <is>
          <t>Kentucky BI minimum source</t>
        </is>
      </c>
      <c r="J18" s="498" t="inlineStr">
        <is>
          <t>Kentucky PD minimum source</t>
        </is>
      </c>
      <c r="K18" s="498" t="inlineStr">
        <is>
          <t>Kentucky Basic Reparations §304.39-020</t>
        </is>
      </c>
      <c r="L18" s="498" t="inlineStr">
        <is>
          <t>Kentucky UM/UIM Statute §304.20-020</t>
        </is>
      </c>
      <c r="M18" s="498" t="inlineStr">
        <is>
          <t>Kentucky Motor Vehicle SOL §304.39-230</t>
        </is>
      </c>
      <c r="N18" s="498" t="inlineStr">
        <is>
          <t>Kentucky Property-Damage SOL §413.125</t>
        </is>
      </c>
      <c r="O18" s="340" t="inlineStr">
        <is>
          <t>Current</t>
        </is>
      </c>
      <c r="P18" s="340" t="inlineStr">
        <is>
          <t>Corrected working statute source</t>
        </is>
      </c>
      <c r="Q18" s="340" t="inlineStr">
        <is>
          <t>No-fault limitation/tolling nuances may apply. PD SOL differs from BI. BI and PD source columns are split for coverage-specific traceability.</t>
        </is>
      </c>
      <c r="R18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18" s="349" t="inlineStr">
        <is>
          <t>Not located / verify</t>
        </is>
      </c>
      <c r="T18" s="349" t="inlineStr">
        <is>
          <t>Not confirmed from official government source</t>
        </is>
      </c>
      <c r="U18" s="349" t="inlineStr">
        <is>
          <t>Not confirmed</t>
        </is>
      </c>
      <c r="V18" s="349" t="inlineStr">
        <is>
          <t>Not confirmed</t>
        </is>
      </c>
      <c r="W18" s="349" t="str"/>
      <c r="X18" s="349" t="str"/>
      <c r="Y18" s="349" t="inlineStr">
        <is>
          <t>No positive government source located</t>
        </is>
      </c>
      <c r="Z18" s="349" t="inlineStr">
        <is>
          <t>Needs deeper state-specific verification before relying on this field.</t>
        </is>
      </c>
      <c r="AA18" s="349" t="inlineStr">
        <is>
          <t>This is a conservative research status, not a legal conclusion that no duty exists. It only means no direct state government source was located in this pass.</t>
        </is>
      </c>
    </row>
    <row r="19" ht="54.75" customHeight="1" s="355">
      <c r="A19" s="340" t="inlineStr">
        <is>
          <t>Louisiana</t>
        </is>
      </c>
      <c r="B19" s="340" t="inlineStr">
        <is>
          <t>15/30</t>
        </is>
      </c>
      <c r="C19" s="340" t="inlineStr">
        <is>
          <t>25</t>
        </is>
      </c>
      <c r="D19" s="340" t="inlineStr">
        <is>
          <t>Not required</t>
        </is>
      </c>
      <c r="E19" s="340" t="inlineStr">
        <is>
          <t>Required unless rejected in writing</t>
        </is>
      </c>
      <c r="F19" s="340" t="inlineStr">
        <is>
          <t>Required unless rejected in writing</t>
        </is>
      </c>
      <c r="G19" s="340" t="inlineStr">
        <is>
          <t>2 years</t>
        </is>
      </c>
      <c r="H19" s="340" t="inlineStr">
        <is>
          <t>2 years</t>
        </is>
      </c>
      <c r="I19" s="498" t="inlineStr">
        <is>
          <t>Louisiana BI minimum source</t>
        </is>
      </c>
      <c r="J19" s="498" t="inlineStr">
        <is>
          <t>Louisiana PD minimum source</t>
        </is>
      </c>
      <c r="K19" s="498" t="inlineStr">
        <is>
          <t>Louisiana Liability Statute RS 32:900</t>
        </is>
      </c>
      <c r="L19" s="498" t="inlineStr">
        <is>
          <t>Louisiana UM/UIM Statute RS 22:1295</t>
        </is>
      </c>
      <c r="M19" s="498" t="inlineStr">
        <is>
          <t>Louisiana Civil Code Art. 3493.1</t>
        </is>
      </c>
      <c r="N19" s="498" t="inlineStr">
        <is>
          <t>Louisiana Civil Code Art. 3493.1</t>
        </is>
      </c>
      <c r="O19" s="340" t="inlineStr">
        <is>
          <t>2024-07-01 SOL change</t>
        </is>
      </c>
      <c r="P19" s="340" t="inlineStr">
        <is>
          <t>Recent SOL change reflected</t>
        </is>
      </c>
      <c r="Q19" s="340" t="inlineStr">
        <is>
          <t>Louisiana delictual prescription increased to two years for newer accidents. BI and PD source columns are split for coverage-specific traceability.</t>
        </is>
      </c>
      <c r="R19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19" s="349" t="inlineStr">
        <is>
          <t>Not located / verify</t>
        </is>
      </c>
      <c r="T19" s="349" t="inlineStr">
        <is>
          <t>Not confirmed from official government source</t>
        </is>
      </c>
      <c r="U19" s="349" t="inlineStr">
        <is>
          <t>Not confirmed</t>
        </is>
      </c>
      <c r="V19" s="349" t="inlineStr">
        <is>
          <t>Not confirmed</t>
        </is>
      </c>
      <c r="W19" s="349" t="str"/>
      <c r="X19" s="349" t="str"/>
      <c r="Y19" s="349" t="inlineStr">
        <is>
          <t>No positive government source located</t>
        </is>
      </c>
      <c r="Z19" s="349" t="inlineStr">
        <is>
          <t>Needs deeper state-specific verification before relying on this field.</t>
        </is>
      </c>
      <c r="AA19" s="349" t="inlineStr">
        <is>
          <t>This is a conservative research status, not a legal conclusion that no duty exists. It only means no direct state government source was located in this pass.</t>
        </is>
      </c>
    </row>
    <row r="20" ht="54.75" customHeight="1" s="355">
      <c r="A20" s="340" t="inlineStr">
        <is>
          <t>Maine</t>
        </is>
      </c>
      <c r="B20" s="340" t="inlineStr">
        <is>
          <t>50/100</t>
        </is>
      </c>
      <c r="C20" s="340" t="inlineStr">
        <is>
          <t>25</t>
        </is>
      </c>
      <c r="D20" s="340" t="inlineStr">
        <is>
          <t>Not required</t>
        </is>
      </c>
      <c r="E20" s="340" t="inlineStr">
        <is>
          <t>Required</t>
        </is>
      </c>
      <c r="F20" s="340" t="inlineStr">
        <is>
          <t>Required</t>
        </is>
      </c>
      <c r="G20" s="340" t="inlineStr">
        <is>
          <t>6 years</t>
        </is>
      </c>
      <c r="H20" s="340" t="inlineStr">
        <is>
          <t>6 years</t>
        </is>
      </c>
      <c r="I20" s="498" t="inlineStr">
        <is>
          <t>Maine BI minimum source</t>
        </is>
      </c>
      <c r="J20" s="498" t="inlineStr">
        <is>
          <t>Maine PD minimum source</t>
        </is>
      </c>
      <c r="K20" s="498" t="inlineStr">
        <is>
          <t>Maine Liability Statute 29-A §1605</t>
        </is>
      </c>
      <c r="L20" s="498" t="inlineStr">
        <is>
          <t>Maine UM/UIM Statute 24-A §2902</t>
        </is>
      </c>
      <c r="M20" s="498" t="inlineStr">
        <is>
          <t>Maine SOL Statute 14 §752</t>
        </is>
      </c>
      <c r="N20" s="498" t="inlineStr">
        <is>
          <t>Maine SOL Statute 14 §752</t>
        </is>
      </c>
      <c r="O20" s="340" t="inlineStr">
        <is>
          <t>Current</t>
        </is>
      </c>
      <c r="P20" s="340" t="inlineStr">
        <is>
          <t>Official statute source used</t>
        </is>
      </c>
      <c r="Q20" s="340" t="inlineStr">
        <is>
          <t>Minimum liability also includes medical payments in Maine, but PIP is not a no-fault requirement. BI and PD source columns are split for coverage-specific traceability.</t>
        </is>
      </c>
      <c r="R20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20" s="349" t="inlineStr">
        <is>
          <t>Not located / verify</t>
        </is>
      </c>
      <c r="T20" s="349" t="inlineStr">
        <is>
          <t>Not confirmed from official government source</t>
        </is>
      </c>
      <c r="U20" s="349" t="inlineStr">
        <is>
          <t>Not confirmed</t>
        </is>
      </c>
      <c r="V20" s="349" t="inlineStr">
        <is>
          <t>Not confirmed</t>
        </is>
      </c>
      <c r="W20" s="349" t="str"/>
      <c r="X20" s="349" t="str"/>
      <c r="Y20" s="349" t="inlineStr">
        <is>
          <t>No positive government source located</t>
        </is>
      </c>
      <c r="Z20" s="349" t="inlineStr">
        <is>
          <t>Needs deeper state-specific verification before relying on this field.</t>
        </is>
      </c>
      <c r="AA20" s="349" t="inlineStr">
        <is>
          <t>This is a conservative research status, not a legal conclusion that no duty exists. It only means no direct state government source was located in this pass.</t>
        </is>
      </c>
    </row>
    <row r="21" ht="54.75" customHeight="1" s="355">
      <c r="A21" s="340" t="inlineStr">
        <is>
          <t>Maryland</t>
        </is>
      </c>
      <c r="B21" s="340" t="inlineStr">
        <is>
          <t>30/60</t>
        </is>
      </c>
      <c r="C21" s="340" t="inlineStr">
        <is>
          <t>15</t>
        </is>
      </c>
      <c r="D21" s="340" t="inlineStr">
        <is>
          <t>2,500; waivable under statute</t>
        </is>
      </c>
      <c r="E21" s="340" t="inlineStr">
        <is>
          <t>Required</t>
        </is>
      </c>
      <c r="F21" s="340" t="inlineStr">
        <is>
          <t>Required within UM/UIM framework</t>
        </is>
      </c>
      <c r="G21" s="340" t="inlineStr">
        <is>
          <t>3 years</t>
        </is>
      </c>
      <c r="H21" s="340" t="inlineStr">
        <is>
          <t>3 years</t>
        </is>
      </c>
      <c r="I21" s="498" t="inlineStr">
        <is>
          <t>Maryland BI minimum source</t>
        </is>
      </c>
      <c r="J21" s="498" t="inlineStr">
        <is>
          <t>Maryland PD minimum source</t>
        </is>
      </c>
      <c r="K21" s="498" t="inlineStr">
        <is>
          <t>Maryland PIP Statute Ins. §19-505</t>
        </is>
      </c>
      <c r="L21" s="498" t="inlineStr">
        <is>
          <t>Maryland UM/UIM Statute Ins. §19-509</t>
        </is>
      </c>
      <c r="M21" s="498" t="inlineStr">
        <is>
          <t>Maryland SOL Statute CJP §5-101</t>
        </is>
      </c>
      <c r="N21" s="498" t="inlineStr">
        <is>
          <t>Maryland SOL Statute CJP §5-101</t>
        </is>
      </c>
      <c r="O21" s="340" t="inlineStr">
        <is>
          <t>Current</t>
        </is>
      </c>
      <c r="P21" s="340" t="inlineStr">
        <is>
          <t>Corrected to official MGA source</t>
        </is>
      </c>
      <c r="Q21" s="340" t="inlineStr">
        <is>
          <t>Maryland liability is 30/60/15. BI and PD source columns are split for coverage-specific traceability.</t>
        </is>
      </c>
      <c r="R21" s="349" t="inlineStr">
        <is>
          <t>Yes. Maryland prelitigation discovery statute requires insurers to provide specified insurance-coverage documentation to qualifying claimants.</t>
        </is>
      </c>
      <c r="S21" s="349" t="inlineStr">
        <is>
          <t>Yes - claimant / attorney, conditional</t>
        </is>
      </c>
      <c r="T21" s="349" t="inlineStr">
        <is>
          <t>Claimant; statutes/bill history include attorney certification requirements for some claim types.</t>
        </is>
      </c>
      <c r="U21" s="349" t="inlineStr">
        <is>
          <t>30 days after a qualifying request.</t>
        </is>
      </c>
      <c r="V21" s="349" t="inlineStr">
        <is>
          <t>Documentation of applicable limits of coverage in insurance agreements under which insurer may satisfy/indemnify/reimburse claim payments.</t>
        </is>
      </c>
      <c r="W21" s="349" t="inlineStr">
        <is>
          <t>Maryland Courts &amp; Judicial Proceedings, Title 10 Subtitle 11; 2019 Ch. 748 / §10-1105 text</t>
        </is>
      </c>
      <c r="X21" s="349" t="inlineStr">
        <is>
          <t>https://mgaleg.maryland.gov/2019RS/chapters_noln/Ch_748_sb0101T.pdf</t>
        </is>
      </c>
      <c r="Y21" s="349" t="inlineStr">
        <is>
          <t>State legislative act / statute text</t>
        </is>
      </c>
      <c r="Z21" s="349" t="inlineStr">
        <is>
          <t>Official Maryland legislative source located.</t>
        </is>
      </c>
      <c r="AA21" s="349" t="inlineStr">
        <is>
          <t>Current codified portal may require section navigation; this official chapter text shows §10-1105 response timing and related prerequisites.</t>
        </is>
      </c>
    </row>
    <row r="22" ht="54.75" customHeight="1" s="355">
      <c r="A22" s="340" t="inlineStr">
        <is>
          <t>Massachusetts</t>
        </is>
      </c>
      <c r="B22" s="340" t="inlineStr">
        <is>
          <t>25/50</t>
        </is>
      </c>
      <c r="C22" s="340" t="inlineStr">
        <is>
          <t>30</t>
        </is>
      </c>
      <c r="D22" s="340" t="inlineStr">
        <is>
          <t>8,000</t>
        </is>
      </c>
      <c r="E22" s="340" t="inlineStr">
        <is>
          <t>Required (25/50)</t>
        </is>
      </c>
      <c r="F22" s="340" t="inlineStr">
        <is>
          <t>Required / offered above minimum structure</t>
        </is>
      </c>
      <c r="G22" s="340" t="inlineStr">
        <is>
          <t>3 years</t>
        </is>
      </c>
      <c r="H22" s="340" t="inlineStr">
        <is>
          <t>3 years</t>
        </is>
      </c>
      <c r="I22" s="498" t="inlineStr">
        <is>
          <t>MA 2025 mandatory coverage limits: BI 25/50</t>
        </is>
      </c>
      <c r="J22" s="498" t="inlineStr">
        <is>
          <t>MA 2025 mandatory coverage limits: PD 30</t>
        </is>
      </c>
      <c r="K22" s="498" t="inlineStr">
        <is>
          <t>MA G.L. c.90 §34A compulsory PIP definition</t>
        </is>
      </c>
      <c r="L22" s="498" t="inlineStr">
        <is>
          <t>MA 2025 mandatory coverage limits notice: UM 25/50</t>
        </is>
      </c>
      <c r="M22" s="498" t="inlineStr">
        <is>
          <t>Massachusetts SOL Statute §2A</t>
        </is>
      </c>
      <c r="N22" s="498" t="inlineStr">
        <is>
          <t>Massachusetts SOL Statute §2A</t>
        </is>
      </c>
      <c r="O22" s="340" t="inlineStr">
        <is>
          <t>2025-07-01</t>
        </is>
      </c>
      <c r="P22" s="340" t="inlineStr">
        <is>
          <t>Patched 2026-04-29: MA PD corrected from 5 to 30; source replaced with official 2025 coverage-limit notice.</t>
        </is>
      </c>
      <c r="Q22" s="340" t="inlineStr">
        <is>
          <t>MA minimums effective 2025-07-01: BI 25/50, UM 25/50, PD 30, PIP 8,000. Prior workbook PD value/source was stale/broken.</t>
        </is>
      </c>
      <c r="R22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22" s="349" t="inlineStr">
        <is>
          <t>Not located / verify</t>
        </is>
      </c>
      <c r="T22" s="349" t="inlineStr">
        <is>
          <t>Not confirmed from official government source</t>
        </is>
      </c>
      <c r="U22" s="349" t="inlineStr">
        <is>
          <t>Not confirmed</t>
        </is>
      </c>
      <c r="V22" s="349" t="inlineStr">
        <is>
          <t>Not confirmed</t>
        </is>
      </c>
      <c r="W22" s="349" t="str"/>
      <c r="X22" s="349" t="str"/>
      <c r="Y22" s="349" t="inlineStr">
        <is>
          <t>No positive government source located</t>
        </is>
      </c>
      <c r="Z22" s="349" t="inlineStr">
        <is>
          <t>Needs deeper state-specific verification before relying on this field.</t>
        </is>
      </c>
      <c r="AA22" s="349" t="inlineStr">
        <is>
          <t>This is a conservative research status, not a legal conclusion that no duty exists. It only means no direct state government source was located in this pass.</t>
        </is>
      </c>
    </row>
    <row r="23" ht="54.75" customHeight="1" s="355">
      <c r="A23" s="340" t="inlineStr">
        <is>
          <t>Michigan</t>
        </is>
      </c>
      <c r="B23" s="340" t="inlineStr">
        <is>
          <t>50/100</t>
        </is>
      </c>
      <c r="C23" s="340" t="inlineStr">
        <is>
          <t>10</t>
        </is>
      </c>
      <c r="D23" s="340" t="inlineStr">
        <is>
          <t>Required; selectable no-fault PIP levels</t>
        </is>
      </c>
      <c r="E23" s="340" t="inlineStr">
        <is>
          <t>Not required</t>
        </is>
      </c>
      <c r="F23" s="340" t="inlineStr">
        <is>
          <t>Not required</t>
        </is>
      </c>
      <c r="G23" s="340" t="inlineStr">
        <is>
          <t>3 years</t>
        </is>
      </c>
      <c r="H23" s="340" t="inlineStr">
        <is>
          <t>3 years</t>
        </is>
      </c>
      <c r="I23" s="498" t="inlineStr">
        <is>
          <t>Michigan BI minimum source</t>
        </is>
      </c>
      <c r="J23" s="498" t="inlineStr">
        <is>
          <t>Michigan PD minimum source</t>
        </is>
      </c>
      <c r="K23" s="498" t="inlineStr">
        <is>
          <t>Michigan PIP Coverage Choices</t>
        </is>
      </c>
      <c r="L23" s="498" t="inlineStr">
        <is>
          <t>MI DIFS optional auto coverages / UM not mandatory</t>
        </is>
      </c>
      <c r="M23" s="498" t="inlineStr">
        <is>
          <t>Michigan SOL Statute §600.5805</t>
        </is>
      </c>
      <c r="N23" s="498" t="inlineStr">
        <is>
          <t>Michigan SOL Statute §600.5805</t>
        </is>
      </c>
      <c r="O23" s="340" t="inlineStr">
        <is>
          <t>Current</t>
        </is>
      </c>
      <c r="P23" s="340" t="inlineStr">
        <is>
          <t>Corrected to official DIFS source</t>
        </is>
      </c>
      <c r="Q23" s="340" t="inlineStr">
        <is>
          <t>PIP is no-fault and selected under Michigan auto insurance reforms. BI and PD source columns are split for coverage-specific traceability.</t>
        </is>
      </c>
      <c r="R23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23" s="349" t="inlineStr">
        <is>
          <t>Not located / verify</t>
        </is>
      </c>
      <c r="T23" s="349" t="inlineStr">
        <is>
          <t>Not confirmed from official government source</t>
        </is>
      </c>
      <c r="U23" s="349" t="inlineStr">
        <is>
          <t>Not confirmed</t>
        </is>
      </c>
      <c r="V23" s="349" t="inlineStr">
        <is>
          <t>Not confirmed</t>
        </is>
      </c>
      <c r="W23" s="349" t="str"/>
      <c r="X23" s="349" t="str"/>
      <c r="Y23" s="349" t="inlineStr">
        <is>
          <t>No positive government source located</t>
        </is>
      </c>
      <c r="Z23" s="349" t="inlineStr">
        <is>
          <t>Needs deeper state-specific verification before relying on this field.</t>
        </is>
      </c>
      <c r="AA23" s="349" t="inlineStr">
        <is>
          <t>This is a conservative research status, not a legal conclusion that no duty exists. It only means no direct state government source was located in this pass.</t>
        </is>
      </c>
    </row>
    <row r="24" ht="54.75" customHeight="1" s="355">
      <c r="A24" s="340" t="inlineStr">
        <is>
          <t>Minnesota</t>
        </is>
      </c>
      <c r="B24" s="340" t="inlineStr">
        <is>
          <t>30/60</t>
        </is>
      </c>
      <c r="C24" s="340" t="inlineStr">
        <is>
          <t>10</t>
        </is>
      </c>
      <c r="D24" s="340" t="inlineStr">
        <is>
          <t>40,000</t>
        </is>
      </c>
      <c r="E24" s="340" t="inlineStr">
        <is>
          <t>Required</t>
        </is>
      </c>
      <c r="F24" s="340" t="inlineStr">
        <is>
          <t>Required</t>
        </is>
      </c>
      <c r="G24" s="340" t="inlineStr">
        <is>
          <t>6 years</t>
        </is>
      </c>
      <c r="H24" s="340" t="inlineStr">
        <is>
          <t>6 years</t>
        </is>
      </c>
      <c r="I24" s="498" t="inlineStr">
        <is>
          <t>Minnesota BI minimum source</t>
        </is>
      </c>
      <c r="J24" s="498" t="inlineStr">
        <is>
          <t>Minnesota PD minimum source</t>
        </is>
      </c>
      <c r="K24" s="498" t="inlineStr">
        <is>
          <t>Minnesota Required Insurance §65B.48</t>
        </is>
      </c>
      <c r="L24" s="498" t="inlineStr">
        <is>
          <t>Minnesota UM/UIM Statute §65B.49</t>
        </is>
      </c>
      <c r="M24" s="498" t="inlineStr">
        <is>
          <t>Minnesota SOL Statute §541.07</t>
        </is>
      </c>
      <c r="N24" s="498" t="inlineStr">
        <is>
          <t>Minnesota SOL Statute §541.07</t>
        </is>
      </c>
      <c r="O24" s="340" t="inlineStr">
        <is>
          <t>Current</t>
        </is>
      </c>
      <c r="P24" s="340" t="inlineStr">
        <is>
          <t>Official statute source used</t>
        </is>
      </c>
      <c r="Q24" s="340" t="inlineStr">
        <is>
          <t>PIP minimum includes medical and income loss components. PD SOL differs from BI. BI and PD source columns are split for coverage-specific traceability.</t>
        </is>
      </c>
      <c r="R24" s="349" t="inlineStr">
        <is>
          <t>Yes. Insurer must disclose coverage and limits after written claimant request.</t>
        </is>
      </c>
      <c r="S24" s="349" t="inlineStr">
        <is>
          <t>Yes - claimant</t>
        </is>
      </c>
      <c r="T24" s="349" t="inlineStr">
        <is>
          <t>Claimant requesting in writing.</t>
        </is>
      </c>
      <c r="U24" s="349" t="inlineStr">
        <is>
          <t>30 days after written request.</t>
        </is>
      </c>
      <c r="V24" s="349" t="inlineStr">
        <is>
          <t>Coverage and limits of the insurance policy.</t>
        </is>
      </c>
      <c r="W24" s="349" t="inlineStr">
        <is>
          <t>Minnesota Statutes §72A.201 Subd. 11</t>
        </is>
      </c>
      <c r="X24" s="349" t="inlineStr">
        <is>
          <t>https://www.revisor.mn.gov/statutes/cite/72a.201</t>
        </is>
      </c>
      <c r="Y24" s="349" t="inlineStr">
        <is>
          <t>State statute</t>
        </is>
      </c>
      <c r="Z24" s="349" t="inlineStr">
        <is>
          <t>Official statute source located.</t>
        </is>
      </c>
      <c r="AA24" s="349" t="inlineStr">
        <is>
          <t>Scope subdivision states this does not apply to workers’ compensation insurance.</t>
        </is>
      </c>
    </row>
    <row r="25" ht="54.75" customHeight="1" s="355">
      <c r="A25" s="340" t="inlineStr">
        <is>
          <t>Mississippi</t>
        </is>
      </c>
      <c r="B25" s="340" t="inlineStr">
        <is>
          <t>25/50</t>
        </is>
      </c>
      <c r="C25" s="340" t="inlineStr">
        <is>
          <t>25</t>
        </is>
      </c>
      <c r="D25" s="340" t="inlineStr">
        <is>
          <t>Not required</t>
        </is>
      </c>
      <c r="E25" s="340" t="inlineStr">
        <is>
          <t>Required unless rejected in writing</t>
        </is>
      </c>
      <c r="F25" s="340" t="inlineStr">
        <is>
          <t>Required unless rejected in writing</t>
        </is>
      </c>
      <c r="G25" s="340" t="inlineStr">
        <is>
          <t>3 years</t>
        </is>
      </c>
      <c r="H25" s="340" t="inlineStr">
        <is>
          <t>3 years</t>
        </is>
      </c>
      <c r="I25" s="498" t="inlineStr">
        <is>
          <t>Mississippi BI minimum source</t>
        </is>
      </c>
      <c r="J25" s="498" t="inlineStr">
        <is>
          <t>Mississippi PD minimum source</t>
        </is>
      </c>
      <c r="K25" s="498" t="inlineStr">
        <is>
          <t>Mississippi Liability Statute §63-15-43</t>
        </is>
      </c>
      <c r="L25" s="498" t="inlineStr">
        <is>
          <t>Mississippi UM/UIM Statute §83-11-101</t>
        </is>
      </c>
      <c r="M25" s="498" t="inlineStr">
        <is>
          <t>Mississippi SOL Statute §15-1-49</t>
        </is>
      </c>
      <c r="N25" s="498" t="inlineStr">
        <is>
          <t>Mississippi SOL Statute §15-1-49</t>
        </is>
      </c>
      <c r="O25" s="340" t="inlineStr">
        <is>
          <t>Current</t>
        </is>
      </c>
      <c r="P25" s="340" t="inlineStr">
        <is>
          <t>Statute source used</t>
        </is>
      </c>
      <c r="Q25" s="340" t="inlineStr">
        <is>
          <t>UM statute includes rejection provision. BI and PD source columns are split for coverage-specific traceability.</t>
        </is>
      </c>
      <c r="R25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25" s="349" t="inlineStr">
        <is>
          <t>Not located / verify</t>
        </is>
      </c>
      <c r="T25" s="349" t="inlineStr">
        <is>
          <t>Not confirmed from official government source</t>
        </is>
      </c>
      <c r="U25" s="349" t="inlineStr">
        <is>
          <t>Not confirmed</t>
        </is>
      </c>
      <c r="V25" s="349" t="inlineStr">
        <is>
          <t>Not confirmed</t>
        </is>
      </c>
      <c r="W25" s="349" t="str"/>
      <c r="X25" s="349" t="str"/>
      <c r="Y25" s="349" t="inlineStr">
        <is>
          <t>No positive government source located</t>
        </is>
      </c>
      <c r="Z25" s="349" t="inlineStr">
        <is>
          <t>Needs deeper state-specific verification before relying on this field.</t>
        </is>
      </c>
      <c r="AA25" s="349" t="inlineStr">
        <is>
          <t>This is a conservative research status, not a legal conclusion that no duty exists. It only means no direct state government source was located in this pass.</t>
        </is>
      </c>
    </row>
    <row r="26" ht="54.75" customHeight="1" s="355">
      <c r="A26" s="340" t="inlineStr">
        <is>
          <t>Missouri</t>
        </is>
      </c>
      <c r="B26" s="340" t="inlineStr">
        <is>
          <t>25/50</t>
        </is>
      </c>
      <c r="C26" s="340" t="inlineStr">
        <is>
          <t>25</t>
        </is>
      </c>
      <c r="D26" s="340" t="inlineStr">
        <is>
          <t>Not required</t>
        </is>
      </c>
      <c r="E26" s="340" t="inlineStr">
        <is>
          <t>Required</t>
        </is>
      </c>
      <c r="F26" s="340" t="inlineStr">
        <is>
          <t>Not required by statute / optional</t>
        </is>
      </c>
      <c r="G26" s="340" t="inlineStr">
        <is>
          <t>5 years</t>
        </is>
      </c>
      <c r="H26" s="340" t="inlineStr">
        <is>
          <t>5 years</t>
        </is>
      </c>
      <c r="I26" s="498" t="inlineStr">
        <is>
          <t>Missouri DOR insurance minimums: BI 25/50</t>
        </is>
      </c>
      <c r="J26" s="498" t="inlineStr">
        <is>
          <t>Missouri DOR insurance minimums: PD 25</t>
        </is>
      </c>
      <c r="K26" s="498" t="inlineStr">
        <is>
          <t>Missouri DOR insurance minimums / no PIP requirement</t>
        </is>
      </c>
      <c r="L26" s="498" t="inlineStr">
        <is>
          <t>Missouri DOR uninsured motorist requirement</t>
        </is>
      </c>
      <c r="M26" s="498" t="inlineStr">
        <is>
          <t>Missouri SOL Statute §516.120</t>
        </is>
      </c>
      <c r="N26" s="498" t="inlineStr">
        <is>
          <t>Missouri SOL Statute §516.120</t>
        </is>
      </c>
      <c r="O26" s="340" t="inlineStr">
        <is>
          <t>Current</t>
        </is>
      </c>
      <c r="P26" s="340" t="inlineStr">
        <is>
          <t>Patched 2026-04-29: BI/PD links replaced with Missouri DOR page that directly lists limits.</t>
        </is>
      </c>
      <c r="Q26" s="340" t="inlineStr">
        <is>
          <t>Missouri DOR page directly lists 25/50 bodily injury, 25 property damage, and UM 25/50.</t>
        </is>
      </c>
      <c r="R26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26" s="349" t="inlineStr">
        <is>
          <t>Not located / verify</t>
        </is>
      </c>
      <c r="T26" s="349" t="inlineStr">
        <is>
          <t>Not confirmed from official government source</t>
        </is>
      </c>
      <c r="U26" s="349" t="inlineStr">
        <is>
          <t>Not confirmed</t>
        </is>
      </c>
      <c r="V26" s="349" t="inlineStr">
        <is>
          <t>Not confirmed</t>
        </is>
      </c>
      <c r="W26" s="349" t="str"/>
      <c r="X26" s="349" t="str"/>
      <c r="Y26" s="349" t="inlineStr">
        <is>
          <t>No positive government source located</t>
        </is>
      </c>
      <c r="Z26" s="349" t="inlineStr">
        <is>
          <t>Needs deeper state-specific verification before relying on this field.</t>
        </is>
      </c>
      <c r="AA26" s="349" t="inlineStr">
        <is>
          <t>This is a conservative research status, not a legal conclusion that no duty exists. It only means no direct state government source was located in this pass.</t>
        </is>
      </c>
    </row>
    <row r="27" ht="54.75" customHeight="1" s="355">
      <c r="A27" s="340" t="inlineStr">
        <is>
          <t>Montana</t>
        </is>
      </c>
      <c r="B27" s="340" t="inlineStr">
        <is>
          <t>25/50</t>
        </is>
      </c>
      <c r="C27" s="340" t="inlineStr">
        <is>
          <t>20</t>
        </is>
      </c>
      <c r="D27" s="340" t="inlineStr">
        <is>
          <t>Not required</t>
        </is>
      </c>
      <c r="E27" s="340" t="inlineStr">
        <is>
          <t>Must be offered; may be rejected in writing</t>
        </is>
      </c>
      <c r="F27" s="340" t="inlineStr">
        <is>
          <t>Must be offered; may be rejected in writing</t>
        </is>
      </c>
      <c r="G27" s="340" t="inlineStr">
        <is>
          <t>3 years</t>
        </is>
      </c>
      <c r="H27" s="340" t="inlineStr">
        <is>
          <t>3 years</t>
        </is>
      </c>
      <c r="I27" s="498" t="inlineStr">
        <is>
          <t>Montana BI minimum source</t>
        </is>
      </c>
      <c r="J27" s="498" t="inlineStr">
        <is>
          <t>Montana PD minimum source</t>
        </is>
      </c>
      <c r="K27" s="498" t="inlineStr">
        <is>
          <t>Montana Vehicle Insurance Requirements</t>
        </is>
      </c>
      <c r="L27" s="498" t="inlineStr">
        <is>
          <t>Montana UM/UIM Statute §33-23-201</t>
        </is>
      </c>
      <c r="M27" s="498" t="inlineStr">
        <is>
          <t>Montana SOL Statute §27-2-204</t>
        </is>
      </c>
      <c r="N27" s="498" t="inlineStr">
        <is>
          <t>Montana SOL Statute §27-2-204</t>
        </is>
      </c>
      <c r="O27" s="340" t="inlineStr">
        <is>
          <t>Current</t>
        </is>
      </c>
      <c r="P27" s="340" t="inlineStr">
        <is>
          <t>Corrected to official MVD source</t>
        </is>
      </c>
      <c r="Q27" s="340" t="inlineStr">
        <is>
          <t>Montana insurance verification page used for readable minimums. BI and PD source columns are split for coverage-specific traceability.</t>
        </is>
      </c>
      <c r="R27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27" s="349" t="inlineStr">
        <is>
          <t>Not located / verify</t>
        </is>
      </c>
      <c r="T27" s="349" t="inlineStr">
        <is>
          <t>Not confirmed from official government source</t>
        </is>
      </c>
      <c r="U27" s="349" t="inlineStr">
        <is>
          <t>Not confirmed</t>
        </is>
      </c>
      <c r="V27" s="349" t="inlineStr">
        <is>
          <t>Not confirmed</t>
        </is>
      </c>
      <c r="W27" s="349" t="str"/>
      <c r="X27" s="349" t="str"/>
      <c r="Y27" s="349" t="inlineStr">
        <is>
          <t>No positive government source located</t>
        </is>
      </c>
      <c r="Z27" s="349" t="inlineStr">
        <is>
          <t>Needs deeper state-specific verification before relying on this field.</t>
        </is>
      </c>
      <c r="AA27" s="349" t="inlineStr">
        <is>
          <t>This is a conservative research status, not a legal conclusion that no duty exists. It only means no direct state government source was located in this pass.</t>
        </is>
      </c>
    </row>
    <row r="28" ht="54.75" customHeight="1" s="355">
      <c r="A28" s="340" t="inlineStr">
        <is>
          <t>Nebraska</t>
        </is>
      </c>
      <c r="B28" s="340" t="inlineStr">
        <is>
          <t>25/50</t>
        </is>
      </c>
      <c r="C28" s="340" t="inlineStr">
        <is>
          <t>25</t>
        </is>
      </c>
      <c r="D28" s="340" t="inlineStr">
        <is>
          <t>Not required</t>
        </is>
      </c>
      <c r="E28" s="340" t="inlineStr">
        <is>
          <t>Required</t>
        </is>
      </c>
      <c r="F28" s="340" t="inlineStr">
        <is>
          <t>Required</t>
        </is>
      </c>
      <c r="G28" s="340" t="inlineStr">
        <is>
          <t>4 years</t>
        </is>
      </c>
      <c r="H28" s="340" t="inlineStr">
        <is>
          <t>4 years</t>
        </is>
      </c>
      <c r="I28" s="498" t="inlineStr">
        <is>
          <t>Nebraska BI minimum source</t>
        </is>
      </c>
      <c r="J28" s="498" t="inlineStr">
        <is>
          <t>Nebraska PD minimum source</t>
        </is>
      </c>
      <c r="K28" s="498" t="inlineStr">
        <is>
          <t>Nebraska Financial Responsibility §60-509</t>
        </is>
      </c>
      <c r="L28" s="498" t="inlineStr">
        <is>
          <t>Nebraska UM/UIM Statute §44-6408</t>
        </is>
      </c>
      <c r="M28" s="498" t="inlineStr">
        <is>
          <t>Nebraska SOL Statute §25-207</t>
        </is>
      </c>
      <c r="N28" s="498" t="inlineStr">
        <is>
          <t>Nebraska SOL Statute §25-207</t>
        </is>
      </c>
      <c r="O28" s="340" t="inlineStr">
        <is>
          <t>Current</t>
        </is>
      </c>
      <c r="P28" s="340" t="inlineStr">
        <is>
          <t>Official statute source used</t>
        </is>
      </c>
      <c r="Q28" s="340" t="inlineStr">
        <is>
          <t>UM/UIM required under Nebraska statute. BI and PD source columns are split for coverage-specific traceability.</t>
        </is>
      </c>
      <c r="R28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28" s="349" t="inlineStr">
        <is>
          <t>Not located / verify</t>
        </is>
      </c>
      <c r="T28" s="349" t="inlineStr">
        <is>
          <t>Not confirmed from official government source</t>
        </is>
      </c>
      <c r="U28" s="349" t="inlineStr">
        <is>
          <t>Not confirmed</t>
        </is>
      </c>
      <c r="V28" s="349" t="inlineStr">
        <is>
          <t>Not confirmed</t>
        </is>
      </c>
      <c r="W28" s="349" t="str"/>
      <c r="X28" s="349" t="str"/>
      <c r="Y28" s="349" t="inlineStr">
        <is>
          <t>No positive government source located</t>
        </is>
      </c>
      <c r="Z28" s="349" t="inlineStr">
        <is>
          <t>Needs deeper state-specific verification before relying on this field.</t>
        </is>
      </c>
      <c r="AA28" s="349" t="inlineStr">
        <is>
          <t>This is a conservative research status, not a legal conclusion that no duty exists. It only means no direct state government source was located in this pass.</t>
        </is>
      </c>
    </row>
    <row r="29" ht="54.75" customHeight="1" s="355">
      <c r="A29" s="340" t="inlineStr">
        <is>
          <t>Nevada</t>
        </is>
      </c>
      <c r="B29" s="340" t="inlineStr">
        <is>
          <t>25/50</t>
        </is>
      </c>
      <c r="C29" s="340" t="inlineStr">
        <is>
          <t>20</t>
        </is>
      </c>
      <c r="D29" s="340" t="inlineStr">
        <is>
          <t>Not required</t>
        </is>
      </c>
      <c r="E29" s="340" t="inlineStr">
        <is>
          <t>Must be offered; may be rejected in writing</t>
        </is>
      </c>
      <c r="F29" s="340" t="inlineStr">
        <is>
          <t>Must be offered; may be rejected in writing</t>
        </is>
      </c>
      <c r="G29" s="340" t="inlineStr">
        <is>
          <t>2 years</t>
        </is>
      </c>
      <c r="H29" s="340" t="inlineStr">
        <is>
          <t>3 years</t>
        </is>
      </c>
      <c r="I29" s="498" t="inlineStr">
        <is>
          <t>Nevada BI minimum source</t>
        </is>
      </c>
      <c r="J29" s="498" t="inlineStr">
        <is>
          <t>Nevada PD minimum source</t>
        </is>
      </c>
      <c r="K29" s="498" t="inlineStr">
        <is>
          <t>Nevada Liability Statute NRS 485.185</t>
        </is>
      </c>
      <c r="L29" s="498" t="inlineStr">
        <is>
          <t>Nevada UM/UIM Statute NRS 687B.145</t>
        </is>
      </c>
      <c r="M29" s="498" t="inlineStr">
        <is>
          <t>Nevada SOL Statute NRS 11.190</t>
        </is>
      </c>
      <c r="N29" s="498" t="inlineStr">
        <is>
          <t>Nevada Property-Damage SOL NRS 11.190</t>
        </is>
      </c>
      <c r="O29" s="340" t="inlineStr">
        <is>
          <t>Current</t>
        </is>
      </c>
      <c r="P29" s="340" t="inlineStr">
        <is>
          <t>Official statute source used</t>
        </is>
      </c>
      <c r="Q29" s="340" t="inlineStr">
        <is>
          <t>UM/UIM offer/rejection structure. PD SOL differs from BI. BI and PD source columns are split for coverage-specific traceability.</t>
        </is>
      </c>
      <c r="R29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29" s="349" t="inlineStr">
        <is>
          <t>Not located / verify</t>
        </is>
      </c>
      <c r="T29" s="349" t="inlineStr">
        <is>
          <t>Not confirmed from official government source</t>
        </is>
      </c>
      <c r="U29" s="349" t="inlineStr">
        <is>
          <t>Not confirmed</t>
        </is>
      </c>
      <c r="V29" s="349" t="inlineStr">
        <is>
          <t>Not confirmed</t>
        </is>
      </c>
      <c r="W29" s="349" t="str"/>
      <c r="X29" s="349" t="str"/>
      <c r="Y29" s="349" t="inlineStr">
        <is>
          <t>No positive government source located</t>
        </is>
      </c>
      <c r="Z29" s="349" t="inlineStr">
        <is>
          <t>Needs deeper state-specific verification before relying on this field.</t>
        </is>
      </c>
      <c r="AA29" s="349" t="inlineStr">
        <is>
          <t>This is a conservative research status, not a legal conclusion that no duty exists. It only means no direct state government source was located in this pass.</t>
        </is>
      </c>
    </row>
    <row r="30" ht="54.75" customHeight="1" s="355">
      <c r="A30" s="340" t="inlineStr">
        <is>
          <t>New Hampshire</t>
        </is>
      </c>
      <c r="B30" s="340" t="inlineStr">
        <is>
          <t>25/50 if policy is purchased</t>
        </is>
      </c>
      <c r="C30" s="340" t="inlineStr">
        <is>
          <t>25 if policy is purchased</t>
        </is>
      </c>
      <c r="D30" s="340" t="inlineStr">
        <is>
          <t>Not required; MedPay 1,000 if policy purchased</t>
        </is>
      </c>
      <c r="E30" s="340" t="inlineStr">
        <is>
          <t>Required if policy is issued</t>
        </is>
      </c>
      <c r="F30" s="340" t="inlineStr">
        <is>
          <t>Required if policy is issued</t>
        </is>
      </c>
      <c r="G30" s="340" t="inlineStr">
        <is>
          <t>3 years</t>
        </is>
      </c>
      <c r="H30" s="340" t="inlineStr">
        <is>
          <t>3 years</t>
        </is>
      </c>
      <c r="I30" s="498" t="inlineStr">
        <is>
          <t>NH Insurance Department auto guide: BI 25/50</t>
        </is>
      </c>
      <c r="J30" s="498" t="inlineStr">
        <is>
          <t>NH Insurance Department auto guide: PD 25</t>
        </is>
      </c>
      <c r="K30" s="498" t="inlineStr">
        <is>
          <t>NH Insurance Department auto guide MedPay requirement</t>
        </is>
      </c>
      <c r="L30" s="498" t="inlineStr">
        <is>
          <t>NH RSA 264:15 UM coverage requirement</t>
        </is>
      </c>
      <c r="M30" s="498" t="inlineStr">
        <is>
          <t>New Hampshire SOL Statute RSA 508:4</t>
        </is>
      </c>
      <c r="N30" s="498" t="inlineStr">
        <is>
          <t>New Hampshire SOL Statute RSA 508:4</t>
        </is>
      </c>
      <c r="O30" s="340" t="inlineStr">
        <is>
          <t>Current</t>
        </is>
      </c>
      <c r="P30" s="340" t="inlineStr">
        <is>
          <t>Patched 2026-04-29: BI/PD links replaced with NH Insurance Department auto guide that directly lists minimums.</t>
        </is>
      </c>
      <c r="Q30" s="340" t="inlineStr">
        <is>
          <t>NH generally does not require auto insurance, but if insurance is purchased the NH Insurance Department guide states minimum liability limits are 25/50/25 and MedPay 1,000.</t>
        </is>
      </c>
      <c r="R30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30" s="349" t="inlineStr">
        <is>
          <t>Not located / verify</t>
        </is>
      </c>
      <c r="T30" s="349" t="inlineStr">
        <is>
          <t>Not confirmed from official government source</t>
        </is>
      </c>
      <c r="U30" s="349" t="inlineStr">
        <is>
          <t>Not confirmed</t>
        </is>
      </c>
      <c r="V30" s="349" t="inlineStr">
        <is>
          <t>Not confirmed</t>
        </is>
      </c>
      <c r="W30" s="349" t="str"/>
      <c r="X30" s="349" t="str"/>
      <c r="Y30" s="349" t="inlineStr">
        <is>
          <t>No positive government source located</t>
        </is>
      </c>
      <c r="Z30" s="349" t="inlineStr">
        <is>
          <t>Needs deeper state-specific verification before relying on this field.</t>
        </is>
      </c>
      <c r="AA30" s="349" t="inlineStr">
        <is>
          <t>This is a conservative research status, not a legal conclusion that no duty exists. It only means no direct state government source was located in this pass.</t>
        </is>
      </c>
    </row>
    <row r="31" ht="54.75" customHeight="1" s="355">
      <c r="A31" s="340" t="inlineStr">
        <is>
          <t>New Jersey</t>
        </is>
      </c>
      <c r="B31" s="340" t="inlineStr">
        <is>
          <t>35/70</t>
        </is>
      </c>
      <c r="C31" s="340" t="inlineStr">
        <is>
          <t>25</t>
        </is>
      </c>
      <c r="D31" s="340" t="inlineStr">
        <is>
          <t>15,000</t>
        </is>
      </c>
      <c r="E31" s="340" t="inlineStr">
        <is>
          <t>Required</t>
        </is>
      </c>
      <c r="F31" s="340" t="inlineStr">
        <is>
          <t>Required within UM/UIM framework</t>
        </is>
      </c>
      <c r="G31" s="340" t="inlineStr">
        <is>
          <t>2 years</t>
        </is>
      </c>
      <c r="H31" s="340" t="inlineStr">
        <is>
          <t>6 years</t>
        </is>
      </c>
      <c r="I31" s="498" t="inlineStr">
        <is>
          <t>NJ DOBI standard policy: BI 35/70</t>
        </is>
      </c>
      <c r="J31" s="498" t="inlineStr">
        <is>
          <t>NJ DOBI standard policy: PD 25</t>
        </is>
      </c>
      <c r="K31" s="498" t="inlineStr">
        <is>
          <t>NJ DOBI standard policy PIP limits</t>
        </is>
      </c>
      <c r="L31" s="498" t="inlineStr">
        <is>
          <t>NJ DOBI UM/UIM and liability limits bulletin</t>
        </is>
      </c>
      <c r="M31" s="498" t="inlineStr">
        <is>
          <t>New Jersey SOL Statute §2A:14-2</t>
        </is>
      </c>
      <c r="N31" s="498" t="inlineStr">
        <is>
          <t>New Jersey Property-Damage SOL N.J.S. 2A:14-1</t>
        </is>
      </c>
      <c r="O31" s="340" t="inlineStr">
        <is>
          <t>2026-01-01</t>
        </is>
      </c>
      <c r="P31" s="340" t="inlineStr">
        <is>
          <t>Patched 2026-04-29: links replaced with NJ DOBI standard policy page and NJ DOBI Bulletin 25-06 showing 2026 phase-in.</t>
        </is>
      </c>
      <c r="Q31" s="340" t="inlineStr">
        <is>
          <t>NJ DOBI lists Standard Policy BI as low as 35/70, PD as low as 25,000, and PIP as low as 15,000; Bulletin 25-06 states phase two effective 2026-01-01.</t>
        </is>
      </c>
      <c r="R31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31" s="349" t="inlineStr">
        <is>
          <t>Not located / verify</t>
        </is>
      </c>
      <c r="T31" s="349" t="inlineStr">
        <is>
          <t>Not confirmed from official government source</t>
        </is>
      </c>
      <c r="U31" s="349" t="inlineStr">
        <is>
          <t>Not confirmed</t>
        </is>
      </c>
      <c r="V31" s="349" t="inlineStr">
        <is>
          <t>Not confirmed</t>
        </is>
      </c>
      <c r="W31" s="349" t="str"/>
      <c r="X31" s="349" t="str"/>
      <c r="Y31" s="349" t="inlineStr">
        <is>
          <t>No positive government source located</t>
        </is>
      </c>
      <c r="Z31" s="349" t="inlineStr">
        <is>
          <t>Needs deeper state-specific verification before relying on this field.</t>
        </is>
      </c>
      <c r="AA31" s="349" t="inlineStr">
        <is>
          <t>This is a conservative research status, not a legal conclusion that no duty exists. It only means no direct state government source was located in this pass.</t>
        </is>
      </c>
    </row>
    <row r="32" ht="54.75" customHeight="1" s="355">
      <c r="A32" s="340" t="inlineStr">
        <is>
          <t>New Mexico</t>
        </is>
      </c>
      <c r="B32" s="340" t="inlineStr">
        <is>
          <t>25/50</t>
        </is>
      </c>
      <c r="C32" s="340" t="inlineStr">
        <is>
          <t>10</t>
        </is>
      </c>
      <c r="D32" s="340" t="inlineStr">
        <is>
          <t>Not required</t>
        </is>
      </c>
      <c r="E32" s="340" t="inlineStr">
        <is>
          <t>Must be offered; may be rejected in writing</t>
        </is>
      </c>
      <c r="F32" s="340" t="inlineStr">
        <is>
          <t>Must be offered; may be rejected in writing</t>
        </is>
      </c>
      <c r="G32" s="340" t="inlineStr">
        <is>
          <t>3 years</t>
        </is>
      </c>
      <c r="H32" s="340" t="inlineStr">
        <is>
          <t>3 years</t>
        </is>
      </c>
      <c r="I32" s="498" t="inlineStr">
        <is>
          <t>New Mexico MVD insurance minimums: BI 25/50</t>
        </is>
      </c>
      <c r="J32" s="498" t="inlineStr">
        <is>
          <t>New Mexico MVD insurance minimums: PD 10</t>
        </is>
      </c>
      <c r="K32" s="498" t="inlineStr">
        <is>
          <t>NM MVD insurance requirements / no PIP listed</t>
        </is>
      </c>
      <c r="L32" s="498" t="inlineStr">
        <is>
          <t>NM §66-5-301 UM/UIM coverage requirement</t>
        </is>
      </c>
      <c r="M32" s="498" t="inlineStr">
        <is>
          <t>New Mexico SOL Statute §37-1-8</t>
        </is>
      </c>
      <c r="N32" s="498" t="inlineStr">
        <is>
          <t>New Mexico SOL Statute §37-1-8</t>
        </is>
      </c>
      <c r="O32" s="340" t="inlineStr">
        <is>
          <t>Current</t>
        </is>
      </c>
      <c r="P32" s="340" t="inlineStr">
        <is>
          <t>Patched 2026-04-29: BI/PD links replaced with New Mexico MVD insurance page; removed bad work-insurance source.</t>
        </is>
      </c>
      <c r="Q32" s="340" t="inlineStr">
        <is>
          <t>New Mexico MVD insurance page directly lists 25,000 BI one person, 50,000 BI two or more persons, and 10,000 property damage.</t>
        </is>
      </c>
      <c r="R32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32" s="349" t="inlineStr">
        <is>
          <t>Not located / verify</t>
        </is>
      </c>
      <c r="T32" s="349" t="inlineStr">
        <is>
          <t>Not confirmed from official government source</t>
        </is>
      </c>
      <c r="U32" s="349" t="inlineStr">
        <is>
          <t>Not confirmed</t>
        </is>
      </c>
      <c r="V32" s="349" t="inlineStr">
        <is>
          <t>Not confirmed</t>
        </is>
      </c>
      <c r="W32" s="349" t="str"/>
      <c r="X32" s="349" t="str"/>
      <c r="Y32" s="349" t="inlineStr">
        <is>
          <t>No positive government source located</t>
        </is>
      </c>
      <c r="Z32" s="349" t="inlineStr">
        <is>
          <t>Needs deeper state-specific verification before relying on this field.</t>
        </is>
      </c>
      <c r="AA32" s="349" t="inlineStr">
        <is>
          <t>This is a conservative research status, not a legal conclusion that no duty exists. It only means no direct state government source was located in this pass.</t>
        </is>
      </c>
    </row>
    <row r="33" ht="54.75" customHeight="1" s="355">
      <c r="A33" s="340" t="inlineStr">
        <is>
          <t>New York</t>
        </is>
      </c>
      <c r="B33" s="340" t="inlineStr">
        <is>
          <t>25/50 injury; 50/100 death</t>
        </is>
      </c>
      <c r="C33" s="340" t="inlineStr">
        <is>
          <t>10</t>
        </is>
      </c>
      <c r="D33" s="340" t="inlineStr">
        <is>
          <t>50,000</t>
        </is>
      </c>
      <c r="E33" s="340" t="inlineStr">
        <is>
          <t>Required</t>
        </is>
      </c>
      <c r="F33" s="340" t="inlineStr">
        <is>
          <t>Optional supplementary UM/UIM; must be offered</t>
        </is>
      </c>
      <c r="G33" s="340" t="inlineStr">
        <is>
          <t>3 years</t>
        </is>
      </c>
      <c r="H33" s="340" t="inlineStr">
        <is>
          <t>3 years</t>
        </is>
      </c>
      <c r="I33" s="498" t="inlineStr">
        <is>
          <t>NY DMV insurance requirements: BI/death limits</t>
        </is>
      </c>
      <c r="J33" s="498" t="inlineStr">
        <is>
          <t>NY DMV insurance requirements: PD 10</t>
        </is>
      </c>
      <c r="K33" s="498" t="inlineStr">
        <is>
          <t>NY DFS auto insurance FAQ: mandatory no-fault 50,000</t>
        </is>
      </c>
      <c r="L33" s="498" t="inlineStr">
        <is>
          <t>NY DFS auto insurance FAQ: UM and SUM coverage</t>
        </is>
      </c>
      <c r="M33" s="498" t="inlineStr">
        <is>
          <t>New York SOL Statute CVP §214</t>
        </is>
      </c>
      <c r="N33" s="498" t="inlineStr">
        <is>
          <t>New York SOL Statute CVP §214</t>
        </is>
      </c>
      <c r="O33" s="340" t="inlineStr">
        <is>
          <t>Current</t>
        </is>
      </c>
      <c r="P33" s="340" t="inlineStr">
        <is>
          <t>Patched 2026-04-29: BI wording expanded to distinguish injury and death limits; source replaced with NY DMV insurance requirements page.</t>
        </is>
      </c>
      <c r="Q33" s="340" t="inlineStr">
        <is>
          <t>NY liability minimums distinguish injury limits from death limits: 25/50 for injury and 50/100 for death.</t>
        </is>
      </c>
      <c r="R33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33" s="349" t="inlineStr">
        <is>
          <t>Not located / verify</t>
        </is>
      </c>
      <c r="T33" s="349" t="inlineStr">
        <is>
          <t>Not confirmed from official government source</t>
        </is>
      </c>
      <c r="U33" s="349" t="inlineStr">
        <is>
          <t>Not confirmed</t>
        </is>
      </c>
      <c r="V33" s="349" t="inlineStr">
        <is>
          <t>Not confirmed</t>
        </is>
      </c>
      <c r="W33" s="349" t="str"/>
      <c r="X33" s="349" t="str"/>
      <c r="Y33" s="349" t="inlineStr">
        <is>
          <t>No positive government source located</t>
        </is>
      </c>
      <c r="Z33" s="349" t="inlineStr">
        <is>
          <t>Needs deeper state-specific verification before relying on this field.</t>
        </is>
      </c>
      <c r="AA33" s="349" t="inlineStr">
        <is>
          <t>This is a conservative research status, not a legal conclusion that no duty exists. It only means no direct state government source was located in this pass.</t>
        </is>
      </c>
    </row>
    <row r="34" ht="54.75" customHeight="1" s="355">
      <c r="A34" s="340" t="inlineStr">
        <is>
          <t>North Carolina</t>
        </is>
      </c>
      <c r="B34" s="340" t="inlineStr">
        <is>
          <t>50/100</t>
        </is>
      </c>
      <c r="C34" s="340" t="inlineStr">
        <is>
          <t>50</t>
        </is>
      </c>
      <c r="D34" s="340" t="inlineStr">
        <is>
          <t>Not required</t>
        </is>
      </c>
      <c r="E34" s="340" t="inlineStr">
        <is>
          <t>Required</t>
        </is>
      </c>
      <c r="F34" s="340" t="inlineStr">
        <is>
          <t>Required</t>
        </is>
      </c>
      <c r="G34" s="340" t="inlineStr">
        <is>
          <t>3 years</t>
        </is>
      </c>
      <c r="H34" s="340" t="inlineStr">
        <is>
          <t>3 years</t>
        </is>
      </c>
      <c r="I34" s="498" t="inlineStr">
        <is>
          <t>NC NCDMV page showing BI minimum limits</t>
        </is>
      </c>
      <c r="J34" s="498" t="inlineStr">
        <is>
          <t>NC NCDMV page showing PD minimum limits</t>
        </is>
      </c>
      <c r="K34" s="498" t="inlineStr">
        <is>
          <t>NC NCDMV insurance requirements page</t>
        </is>
      </c>
      <c r="L34" s="498" t="inlineStr">
        <is>
          <t>NC statute defining UM/UIM requirements</t>
        </is>
      </c>
      <c r="M34" s="498" t="inlineStr">
        <is>
          <t>North Carolina SOL Statute §1-52</t>
        </is>
      </c>
      <c r="N34" s="498" t="inlineStr">
        <is>
          <t>North Carolina SOL Statute §1-52</t>
        </is>
      </c>
      <c r="O34" s="340" t="inlineStr">
        <is>
          <t>2025-07-01</t>
        </is>
      </c>
      <c r="P34" s="340" t="inlineStr">
        <is>
          <t>Direct official NCDMV minimums link used</t>
        </is>
      </c>
      <c r="Q34" s="340" t="inlineStr">
        <is>
          <t>Minimum liability increased to 50/100/50 effective July 1, 2025. Direct NCDMV page used for BI/PD limits.</t>
        </is>
      </c>
      <c r="R34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34" s="349" t="inlineStr">
        <is>
          <t>Not located / verify</t>
        </is>
      </c>
      <c r="T34" s="349" t="inlineStr">
        <is>
          <t>Not confirmed from official government source</t>
        </is>
      </c>
      <c r="U34" s="349" t="inlineStr">
        <is>
          <t>Not confirmed</t>
        </is>
      </c>
      <c r="V34" s="349" t="inlineStr">
        <is>
          <t>Not confirmed</t>
        </is>
      </c>
      <c r="W34" s="349" t="str"/>
      <c r="X34" s="349" t="str"/>
      <c r="Y34" s="349" t="inlineStr">
        <is>
          <t>No positive government source located</t>
        </is>
      </c>
      <c r="Z34" s="349" t="inlineStr">
        <is>
          <t>Needs deeper state-specific verification before relying on this field.</t>
        </is>
      </c>
      <c r="AA34" s="349" t="inlineStr">
        <is>
          <t>This is a conservative research status, not a legal conclusion that no duty exists. It only means no direct state government source was located in this pass.</t>
        </is>
      </c>
    </row>
    <row r="35" ht="54.75" customHeight="1" s="355">
      <c r="A35" s="340" t="inlineStr">
        <is>
          <t>North Dakota</t>
        </is>
      </c>
      <c r="B35" s="340" t="inlineStr">
        <is>
          <t>25/50</t>
        </is>
      </c>
      <c r="C35" s="340" t="inlineStr">
        <is>
          <t>25</t>
        </is>
      </c>
      <c r="D35" s="340" t="inlineStr">
        <is>
          <t>Required; basic no-fault benefits</t>
        </is>
      </c>
      <c r="E35" s="340" t="inlineStr">
        <is>
          <t>Required</t>
        </is>
      </c>
      <c r="F35" s="340" t="inlineStr">
        <is>
          <t>Required</t>
        </is>
      </c>
      <c r="G35" s="340" t="inlineStr">
        <is>
          <t>6 years</t>
        </is>
      </c>
      <c r="H35" s="340" t="inlineStr">
        <is>
          <t>6 years</t>
        </is>
      </c>
      <c r="I35" s="498" t="inlineStr">
        <is>
          <t>NDCC §39-16.1-11 BI minimum limits</t>
        </is>
      </c>
      <c r="J35" s="498" t="inlineStr">
        <is>
          <t>NDCC §39-16.1-11 PD minimum limits</t>
        </is>
      </c>
      <c r="K35" s="498" t="inlineStr">
        <is>
          <t>ND no-fault insurance code ch. 26.1-41</t>
        </is>
      </c>
      <c r="L35" s="498" t="inlineStr">
        <is>
          <t>ND motor vehicle insurance code ch. 26.1-40</t>
        </is>
      </c>
      <c r="M35" s="498" t="inlineStr">
        <is>
          <t>North Dakota SOL Statute Title 28-01</t>
        </is>
      </c>
      <c r="N35" s="498" t="inlineStr">
        <is>
          <t>North Dakota SOL Statute Title 28-01</t>
        </is>
      </c>
      <c r="O35" s="340" t="inlineStr">
        <is>
          <t>Current</t>
        </is>
      </c>
      <c r="P35" s="340" t="inlineStr">
        <is>
          <t>Direct ND Century Code PDF used</t>
        </is>
      </c>
      <c r="Q35" s="340" t="inlineStr">
        <is>
          <t>BI/PD source uses NDCC §39-16.1-11 PDF; lines state 25/50 BI and 25 PD.</t>
        </is>
      </c>
      <c r="R35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35" s="349" t="inlineStr">
        <is>
          <t>Not located / verify</t>
        </is>
      </c>
      <c r="T35" s="349" t="inlineStr">
        <is>
          <t>Not confirmed from official government source</t>
        </is>
      </c>
      <c r="U35" s="349" t="inlineStr">
        <is>
          <t>Not confirmed</t>
        </is>
      </c>
      <c r="V35" s="349" t="inlineStr">
        <is>
          <t>Not confirmed</t>
        </is>
      </c>
      <c r="W35" s="349" t="str"/>
      <c r="X35" s="349" t="str"/>
      <c r="Y35" s="349" t="inlineStr">
        <is>
          <t>No positive government source located</t>
        </is>
      </c>
      <c r="Z35" s="349" t="inlineStr">
        <is>
          <t>Needs deeper state-specific verification before relying on this field.</t>
        </is>
      </c>
      <c r="AA35" s="349" t="inlineStr">
        <is>
          <t>This is a conservative research status, not a legal conclusion that no duty exists. It only means no direct state government source was located in this pass.</t>
        </is>
      </c>
    </row>
    <row r="36" ht="54.75" customHeight="1" s="355">
      <c r="A36" s="340" t="inlineStr">
        <is>
          <t>Ohio</t>
        </is>
      </c>
      <c r="B36" s="340" t="inlineStr">
        <is>
          <t>25/50</t>
        </is>
      </c>
      <c r="C36" s="340" t="inlineStr">
        <is>
          <t>25</t>
        </is>
      </c>
      <c r="D36" s="340" t="inlineStr">
        <is>
          <t>Not required</t>
        </is>
      </c>
      <c r="E36" s="340" t="inlineStr">
        <is>
          <t>Must be offered; may be rejected in writing</t>
        </is>
      </c>
      <c r="F36" s="340" t="inlineStr">
        <is>
          <t>Must be offered; may be rejected in writing</t>
        </is>
      </c>
      <c r="G36" s="340" t="inlineStr">
        <is>
          <t>2 years</t>
        </is>
      </c>
      <c r="H36" s="340" t="inlineStr">
        <is>
          <t>2 years</t>
        </is>
      </c>
      <c r="I36" s="498" t="inlineStr">
        <is>
          <t>Ohio BI minimum source</t>
        </is>
      </c>
      <c r="J36" s="498" t="inlineStr">
        <is>
          <t>Ohio PD minimum source</t>
        </is>
      </c>
      <c r="K36" s="498" t="inlineStr">
        <is>
          <t>Ohio Financial Responsibility §4509.51</t>
        </is>
      </c>
      <c r="L36" s="498" t="inlineStr">
        <is>
          <t>Ohio UM/UIM Statute §3937.18</t>
        </is>
      </c>
      <c r="M36" s="498" t="inlineStr">
        <is>
          <t>Ohio SOL Statute §2305.10</t>
        </is>
      </c>
      <c r="N36" s="498" t="inlineStr">
        <is>
          <t>Ohio SOL Statute §2305.10</t>
        </is>
      </c>
      <c r="O36" s="340" t="inlineStr">
        <is>
          <t>Current</t>
        </is>
      </c>
      <c r="P36" s="340" t="inlineStr">
        <is>
          <t>Official statute source used</t>
        </is>
      </c>
      <c r="Q36" s="340" t="inlineStr">
        <is>
          <t>Ohio UM/UIM is offer/rejection-based. BI and PD source columns are split for coverage-specific traceability.</t>
        </is>
      </c>
      <c r="R36" s="349" t="inlineStr">
        <is>
          <t>First-party only source located. Ohio rule requires insurers to fully disclose pertinent benefits, coverages, or other provisions to first-party claimants.</t>
        </is>
      </c>
      <c r="S36" s="349" t="inlineStr">
        <is>
          <t>First-party / policyholder claim only</t>
        </is>
      </c>
      <c r="T36" s="349" t="inlineStr">
        <is>
          <t>First-party claimant.</t>
        </is>
      </c>
      <c r="U36" s="349" t="inlineStr">
        <is>
          <t>Not specified in cited subsection.</t>
        </is>
      </c>
      <c r="V36" s="349" t="inlineStr">
        <is>
          <t>Pertinent benefits, coverages, or other provisions of the insurance contract under which a claim is presented.</t>
        </is>
      </c>
      <c r="W36" s="349" t="inlineStr">
        <is>
          <t>Ohio Administrative Code Rule 3901-1-54</t>
        </is>
      </c>
      <c r="X36" s="349" t="inlineStr">
        <is>
          <t>https://codes.ohio.gov/ohio-administrative-code/rule-3901-1-54</t>
        </is>
      </c>
      <c r="Y36" s="349" t="inlineStr">
        <is>
          <t>State administrative rule</t>
        </is>
      </c>
      <c r="Z36" s="349" t="inlineStr">
        <is>
          <t>Official rule source located for first-party claims only.</t>
        </is>
      </c>
      <c r="AA36" s="349" t="inlineStr">
        <is>
          <t>This does not confirm a third-party claimant/attorney right to auto liability limits or declarations pages.</t>
        </is>
      </c>
    </row>
    <row r="37" ht="54.75" customHeight="1" s="355">
      <c r="A37" s="340" t="inlineStr">
        <is>
          <t>Oklahoma</t>
        </is>
      </c>
      <c r="B37" s="340" t="inlineStr">
        <is>
          <t>25/50</t>
        </is>
      </c>
      <c r="C37" s="340" t="inlineStr">
        <is>
          <t>25</t>
        </is>
      </c>
      <c r="D37" s="340" t="inlineStr">
        <is>
          <t>Not required</t>
        </is>
      </c>
      <c r="E37" s="340" t="inlineStr">
        <is>
          <t>Must be offered; may be rejected in writing</t>
        </is>
      </c>
      <c r="F37" s="340" t="inlineStr">
        <is>
          <t>Must be offered; may be rejected in writing</t>
        </is>
      </c>
      <c r="G37" s="340" t="inlineStr">
        <is>
          <t>2 years</t>
        </is>
      </c>
      <c r="H37" s="340" t="inlineStr">
        <is>
          <t>2 years</t>
        </is>
      </c>
      <c r="I37" s="498" t="inlineStr">
        <is>
          <t>OK Insurance Department PDF showing BI minimum limits</t>
        </is>
      </c>
      <c r="J37" s="498" t="inlineStr">
        <is>
          <t>OK Insurance Department PDF showing PD minimum limits</t>
        </is>
      </c>
      <c r="K37" s="498" t="inlineStr">
        <is>
          <t>OK OID auto insurance minimums / no PIP listed</t>
        </is>
      </c>
      <c r="L37" s="498" t="inlineStr">
        <is>
          <t>OK 36 O.S. §3636 UM coverage offer/rejection</t>
        </is>
      </c>
      <c r="M37" s="498" t="inlineStr">
        <is>
          <t>Oklahoma SOL Statute 12 O.S. §95</t>
        </is>
      </c>
      <c r="N37" s="498" t="inlineStr">
        <is>
          <t>Oklahoma SOL Statute 12 O.S. §95</t>
        </is>
      </c>
      <c r="O37" s="340" t="inlineStr">
        <is>
          <t>Current</t>
        </is>
      </c>
      <c r="P37" s="340" t="inlineStr">
        <is>
          <t>Direct OK Insurance Department PDF used</t>
        </is>
      </c>
      <c r="Q37" s="340" t="inlineStr">
        <is>
          <t>Direct DOI PDF states Oklahoma minimum liability limits are 25/50/25.</t>
        </is>
      </c>
      <c r="R37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37" s="349" t="inlineStr">
        <is>
          <t>Not located / verify</t>
        </is>
      </c>
      <c r="T37" s="349" t="inlineStr">
        <is>
          <t>Not confirmed from official government source</t>
        </is>
      </c>
      <c r="U37" s="349" t="inlineStr">
        <is>
          <t>Not confirmed</t>
        </is>
      </c>
      <c r="V37" s="349" t="inlineStr">
        <is>
          <t>Not confirmed</t>
        </is>
      </c>
      <c r="W37" s="349" t="str"/>
      <c r="X37" s="349" t="str"/>
      <c r="Y37" s="349" t="inlineStr">
        <is>
          <t>No positive government source located</t>
        </is>
      </c>
      <c r="Z37" s="349" t="inlineStr">
        <is>
          <t>Needs deeper state-specific verification before relying on this field.</t>
        </is>
      </c>
      <c r="AA37" s="349" t="inlineStr">
        <is>
          <t>This is a conservative research status, not a legal conclusion that no duty exists. It only means no direct state government source was located in this pass.</t>
        </is>
      </c>
    </row>
    <row r="38" ht="54.75" customHeight="1" s="355">
      <c r="A38" s="340" t="inlineStr">
        <is>
          <t>Oregon</t>
        </is>
      </c>
      <c r="B38" s="340" t="inlineStr">
        <is>
          <t>25/50</t>
        </is>
      </c>
      <c r="C38" s="340" t="inlineStr">
        <is>
          <t>20</t>
        </is>
      </c>
      <c r="D38" s="340" t="inlineStr">
        <is>
          <t>15,000</t>
        </is>
      </c>
      <c r="E38" s="340" t="inlineStr">
        <is>
          <t>Required</t>
        </is>
      </c>
      <c r="F38" s="340" t="inlineStr">
        <is>
          <t>Required</t>
        </is>
      </c>
      <c r="G38" s="340" t="inlineStr">
        <is>
          <t>2 years</t>
        </is>
      </c>
      <c r="H38" s="340" t="inlineStr">
        <is>
          <t>6 years</t>
        </is>
      </c>
      <c r="I38" s="498" t="inlineStr">
        <is>
          <t>Oregon BI minimum source</t>
        </is>
      </c>
      <c r="J38" s="498" t="inlineStr">
        <is>
          <t>Oregon PD minimum source</t>
        </is>
      </c>
      <c r="K38" s="498" t="inlineStr">
        <is>
          <t>OR ORS 742.520 PIP benefits requirement</t>
        </is>
      </c>
      <c r="L38" s="498" t="inlineStr">
        <is>
          <t>OR ORS 742.502 UM/UIM coverage requirement</t>
        </is>
      </c>
      <c r="M38" s="498" t="inlineStr">
        <is>
          <t>Oregon SOL Statute ORS 12</t>
        </is>
      </c>
      <c r="N38" s="498" t="inlineStr">
        <is>
          <t>Oregon Property-Damage SOL ORS 12.080</t>
        </is>
      </c>
      <c r="O38" s="340" t="inlineStr">
        <is>
          <t>Current</t>
        </is>
      </c>
      <c r="P38" s="340" t="inlineStr">
        <is>
          <t>Official statute source used</t>
        </is>
      </c>
      <c r="Q38" s="340" t="inlineStr">
        <is>
          <t>Oregon requires PIP and UM/UIM. PD SOL differs from BI. BI and PD source columns are split for coverage-specific traceability.</t>
        </is>
      </c>
      <c r="R38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38" s="349" t="inlineStr">
        <is>
          <t>Not located / verify</t>
        </is>
      </c>
      <c r="T38" s="349" t="inlineStr">
        <is>
          <t>Not confirmed from official government source</t>
        </is>
      </c>
      <c r="U38" s="349" t="inlineStr">
        <is>
          <t>Not confirmed</t>
        </is>
      </c>
      <c r="V38" s="349" t="inlineStr">
        <is>
          <t>Not confirmed</t>
        </is>
      </c>
      <c r="W38" s="349" t="str"/>
      <c r="X38" s="349" t="str"/>
      <c r="Y38" s="349" t="inlineStr">
        <is>
          <t>No positive government source located</t>
        </is>
      </c>
      <c r="Z38" s="349" t="inlineStr">
        <is>
          <t>Needs deeper state-specific verification before relying on this field.</t>
        </is>
      </c>
      <c r="AA38" s="349" t="inlineStr">
        <is>
          <t>This is a conservative research status, not a legal conclusion that no duty exists. It only means no direct state government source was located in this pass.</t>
        </is>
      </c>
    </row>
    <row r="39" ht="54.75" customHeight="1" s="355">
      <c r="A39" s="340" t="inlineStr">
        <is>
          <t>Pennsylvania</t>
        </is>
      </c>
      <c r="B39" s="340" t="inlineStr">
        <is>
          <t>15/30</t>
        </is>
      </c>
      <c r="C39" s="340" t="inlineStr">
        <is>
          <t>5</t>
        </is>
      </c>
      <c r="D39" s="340" t="inlineStr">
        <is>
          <t>5,000 medical benefits</t>
        </is>
      </c>
      <c r="E39" s="340" t="inlineStr">
        <is>
          <t>Optional; must be offered</t>
        </is>
      </c>
      <c r="F39" s="340" t="inlineStr">
        <is>
          <t>Optional; must be offered</t>
        </is>
      </c>
      <c r="G39" s="340" t="inlineStr">
        <is>
          <t>2 years</t>
        </is>
      </c>
      <c r="H39" s="340" t="inlineStr">
        <is>
          <t>2 years</t>
        </is>
      </c>
      <c r="I39" s="498" t="inlineStr">
        <is>
          <t>PA Title 75 §1702 BI financial responsibility limits</t>
        </is>
      </c>
      <c r="J39" s="498" t="inlineStr">
        <is>
          <t>PA Title 75 §1702 PD financial responsibility limits</t>
        </is>
      </c>
      <c r="K39" s="498" t="inlineStr">
        <is>
          <t>PA 75 Pa.C.S. §1711 required medical benefits</t>
        </is>
      </c>
      <c r="L39" s="498" t="inlineStr">
        <is>
          <t>PA 75 Pa.C.S. §1731 UM/UIM offer/rejection</t>
        </is>
      </c>
      <c r="M39" s="498" t="inlineStr">
        <is>
          <t>Pennsylvania SOL 42 Pa.C.S. §5524</t>
        </is>
      </c>
      <c r="N39" s="498" t="inlineStr">
        <is>
          <t>Pennsylvania SOL 42 Pa.C.S. §5524</t>
        </is>
      </c>
      <c r="O39" s="340" t="inlineStr">
        <is>
          <t>Current</t>
        </is>
      </c>
      <c r="P39" s="340" t="inlineStr">
        <is>
          <t>Direct PA consolidated statute pages used</t>
        </is>
      </c>
      <c r="Q39" s="340" t="inlineStr">
        <is>
          <t>BI/PD source uses direct Title 75 §1702 definition of financial responsibility.</t>
        </is>
      </c>
      <c r="R39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39" s="349" t="inlineStr">
        <is>
          <t>Not located / verify</t>
        </is>
      </c>
      <c r="T39" s="349" t="inlineStr">
        <is>
          <t>Not confirmed from official government source</t>
        </is>
      </c>
      <c r="U39" s="349" t="inlineStr">
        <is>
          <t>Not confirmed</t>
        </is>
      </c>
      <c r="V39" s="349" t="inlineStr">
        <is>
          <t>Not confirmed</t>
        </is>
      </c>
      <c r="W39" s="349" t="str"/>
      <c r="X39" s="349" t="str"/>
      <c r="Y39" s="349" t="inlineStr">
        <is>
          <t>No positive government source located</t>
        </is>
      </c>
      <c r="Z39" s="349" t="inlineStr">
        <is>
          <t>Needs deeper state-specific verification before relying on this field.</t>
        </is>
      </c>
      <c r="AA39" s="349" t="inlineStr">
        <is>
          <t>This is a conservative research status, not a legal conclusion that no duty exists. It only means no direct state government source was located in this pass.</t>
        </is>
      </c>
    </row>
    <row r="40" ht="54.75" customHeight="1" s="355">
      <c r="A40" s="340" t="inlineStr">
        <is>
          <t>Rhode Island</t>
        </is>
      </c>
      <c r="B40" s="340" t="inlineStr">
        <is>
          <t>25/50</t>
        </is>
      </c>
      <c r="C40" s="340" t="inlineStr">
        <is>
          <t>25</t>
        </is>
      </c>
      <c r="D40" s="340" t="inlineStr">
        <is>
          <t>Not required</t>
        </is>
      </c>
      <c r="E40" s="340" t="inlineStr">
        <is>
          <t>Optional; must be offered</t>
        </is>
      </c>
      <c r="F40" s="340" t="inlineStr">
        <is>
          <t>Optional; must be offered</t>
        </is>
      </c>
      <c r="G40" s="340" t="inlineStr">
        <is>
          <t>3 years</t>
        </is>
      </c>
      <c r="H40" s="340" t="inlineStr">
        <is>
          <t>3 years</t>
        </is>
      </c>
      <c r="I40" s="498" t="inlineStr">
        <is>
          <t>Rhode Island BI minimum source</t>
        </is>
      </c>
      <c r="J40" s="498" t="inlineStr">
        <is>
          <t>Rhode Island PD minimum source</t>
        </is>
      </c>
      <c r="K40" s="498" t="inlineStr">
        <is>
          <t>Rhode Island Liability Statute §31-47-2</t>
        </is>
      </c>
      <c r="L40" s="498" t="inlineStr">
        <is>
          <t>Rhode Island UM/UIM Statute §27-7-2.1</t>
        </is>
      </c>
      <c r="M40" s="498" t="inlineStr">
        <is>
          <t>Rhode Island SOL Statute §9-1-14</t>
        </is>
      </c>
      <c r="N40" s="498" t="inlineStr">
        <is>
          <t>Rhode Island SOL Statute §9-1-14</t>
        </is>
      </c>
      <c r="O40" s="340" t="inlineStr">
        <is>
          <t>Current</t>
        </is>
      </c>
      <c r="P40" s="340" t="inlineStr">
        <is>
          <t>Official statute source used</t>
        </is>
      </c>
      <c r="Q40" s="340" t="inlineStr">
        <is>
          <t>UM/UIM offer/rejection structure. BI and PD source columns are split for coverage-specific traceability.</t>
        </is>
      </c>
      <c r="R40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40" s="349" t="inlineStr">
        <is>
          <t>Not located / verify</t>
        </is>
      </c>
      <c r="T40" s="349" t="inlineStr">
        <is>
          <t>Not confirmed from official government source</t>
        </is>
      </c>
      <c r="U40" s="349" t="inlineStr">
        <is>
          <t>Not confirmed</t>
        </is>
      </c>
      <c r="V40" s="349" t="inlineStr">
        <is>
          <t>Not confirmed</t>
        </is>
      </c>
      <c r="W40" s="349" t="str"/>
      <c r="X40" s="349" t="str"/>
      <c r="Y40" s="349" t="inlineStr">
        <is>
          <t>No positive government source located</t>
        </is>
      </c>
      <c r="Z40" s="349" t="inlineStr">
        <is>
          <t>Needs deeper state-specific verification before relying on this field.</t>
        </is>
      </c>
      <c r="AA40" s="349" t="inlineStr">
        <is>
          <t>This is a conservative research status, not a legal conclusion that no duty exists. It only means no direct state government source was located in this pass.</t>
        </is>
      </c>
    </row>
    <row r="41" ht="54.75" customHeight="1" s="355">
      <c r="A41" s="340" t="inlineStr">
        <is>
          <t>South Carolina</t>
        </is>
      </c>
      <c r="B41" s="340" t="inlineStr">
        <is>
          <t>25/50</t>
        </is>
      </c>
      <c r="C41" s="340" t="inlineStr">
        <is>
          <t>25</t>
        </is>
      </c>
      <c r="D41" s="340" t="inlineStr">
        <is>
          <t>Not required</t>
        </is>
      </c>
      <c r="E41" s="340" t="inlineStr">
        <is>
          <t>Required</t>
        </is>
      </c>
      <c r="F41" s="340" t="inlineStr">
        <is>
          <t>Must be offered; may be rejected</t>
        </is>
      </c>
      <c r="G41" s="340" t="inlineStr">
        <is>
          <t>3 years</t>
        </is>
      </c>
      <c r="H41" s="340" t="inlineStr">
        <is>
          <t>3 years</t>
        </is>
      </c>
      <c r="I41" s="498" t="inlineStr">
        <is>
          <t>South Carolina BI minimum source</t>
        </is>
      </c>
      <c r="J41" s="498" t="inlineStr">
        <is>
          <t>South Carolina PD minimum source</t>
        </is>
      </c>
      <c r="K41" s="498" t="inlineStr">
        <is>
          <t>SC DOI auto insurance coverage guide / no PIP requirement</t>
        </is>
      </c>
      <c r="L41" s="498" t="inlineStr">
        <is>
          <t>SC Code Title 38 Chapter 77 UM/UIM provisions</t>
        </is>
      </c>
      <c r="M41" s="498" t="inlineStr">
        <is>
          <t>South Carolina SOL Statute Title 15 Ch. 3</t>
        </is>
      </c>
      <c r="N41" s="498" t="inlineStr">
        <is>
          <t>South Carolina SOL Statute Title 15 Ch. 3</t>
        </is>
      </c>
      <c r="O41" s="340" t="inlineStr">
        <is>
          <t>Current</t>
        </is>
      </c>
      <c r="P41" s="340" t="inlineStr">
        <is>
          <t>Official statute source used</t>
        </is>
      </c>
      <c r="Q41" s="340" t="inlineStr">
        <is>
          <t>UM required; UIM offer/rejection-based. BI and PD source columns are split for coverage-specific traceability.</t>
        </is>
      </c>
      <c r="R41" s="349" t="inlineStr">
        <is>
          <t>Proposed/legislative-search source found, but no current enacted government source located in this pass requiring claimant/attorney disclosure.</t>
        </is>
      </c>
      <c r="S41" s="349" t="inlineStr">
        <is>
          <t>Proposed / verify</t>
        </is>
      </c>
      <c r="T41" s="349" t="inlineStr">
        <is>
          <t>Claimant or authorized representative in proposed text; current law not confirmed.</t>
        </is>
      </c>
      <c r="U41" s="349" t="inlineStr">
        <is>
          <t>Not confirmed as enacted/current.</t>
        </is>
      </c>
      <c r="V41" s="349" t="inlineStr">
        <is>
          <t>Proposed liability/casualty insurance coverage disclosures.</t>
        </is>
      </c>
      <c r="W41" s="349" t="inlineStr">
        <is>
          <t>South Carolina legislative search result for proposed §38-55-175</t>
        </is>
      </c>
      <c r="X41" s="349" t="inlineStr">
        <is>
          <t>https://www.scstatehouse.gov/query.php?category=LEGISLATION&amp;conid=7543577&amp;keyval=1183141&amp;numrows=50&amp;result_pos=47900&amp;search=DOC&amp;searchtext=house%25&amp;session=0</t>
        </is>
      </c>
      <c r="Y41" s="349" t="inlineStr">
        <is>
          <t>State legislative proposal/search result</t>
        </is>
      </c>
      <c r="Z41" s="349" t="inlineStr">
        <is>
          <t>Not treated as current law; needs verification.</t>
        </is>
      </c>
      <c r="AA41" s="349" t="inlineStr">
        <is>
          <t>Do not rely as a current disclosure requirement unless current enacted code section is confirmed.</t>
        </is>
      </c>
    </row>
    <row r="42" ht="54.75" customHeight="1" s="355">
      <c r="A42" s="340" t="inlineStr">
        <is>
          <t>South Dakota</t>
        </is>
      </c>
      <c r="B42" s="340" t="inlineStr">
        <is>
          <t>25/50</t>
        </is>
      </c>
      <c r="C42" s="340" t="inlineStr">
        <is>
          <t>25</t>
        </is>
      </c>
      <c r="D42" s="340" t="inlineStr">
        <is>
          <t>Not required</t>
        </is>
      </c>
      <c r="E42" s="340" t="inlineStr">
        <is>
          <t>Required</t>
        </is>
      </c>
      <c r="F42" s="340" t="inlineStr">
        <is>
          <t>Required</t>
        </is>
      </c>
      <c r="G42" s="340" t="inlineStr">
        <is>
          <t>3 years</t>
        </is>
      </c>
      <c r="H42" s="340" t="inlineStr">
        <is>
          <t>6 years</t>
        </is>
      </c>
      <c r="I42" s="498" t="inlineStr">
        <is>
          <t>SDCL §32-35-70 BI minimum limits</t>
        </is>
      </c>
      <c r="J42" s="498" t="inlineStr">
        <is>
          <t>SDCL §32-35-70 PD minimum limits</t>
        </is>
      </c>
      <c r="K42" s="498" t="inlineStr">
        <is>
          <t>SDCL §32-35-70 liability policy limits</t>
        </is>
      </c>
      <c r="L42" s="498" t="inlineStr">
        <is>
          <t>SDCL UM/UIM statute</t>
        </is>
      </c>
      <c r="M42" s="498" t="inlineStr">
        <is>
          <t>South Dakota SOL Statute</t>
        </is>
      </c>
      <c r="N42" s="498" t="inlineStr">
        <is>
          <t>South Dakota Property-Damage SOL SDCL 15-2-13</t>
        </is>
      </c>
      <c r="O42" s="340" t="inlineStr">
        <is>
          <t>Current</t>
        </is>
      </c>
      <c r="P42" s="340" t="inlineStr">
        <is>
          <t>Direct SD codified law page used</t>
        </is>
      </c>
      <c r="Q42" s="340" t="inlineStr">
        <is>
          <t>BI/PD source uses SDCL §32-35-70 direct statute page.</t>
        </is>
      </c>
      <c r="R42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42" s="349" t="inlineStr">
        <is>
          <t>Not located / verify</t>
        </is>
      </c>
      <c r="T42" s="349" t="inlineStr">
        <is>
          <t>Not confirmed from official government source</t>
        </is>
      </c>
      <c r="U42" s="349" t="inlineStr">
        <is>
          <t>Not confirmed</t>
        </is>
      </c>
      <c r="V42" s="349" t="inlineStr">
        <is>
          <t>Not confirmed</t>
        </is>
      </c>
      <c r="W42" s="349" t="str"/>
      <c r="X42" s="349" t="str"/>
      <c r="Y42" s="349" t="inlineStr">
        <is>
          <t>No positive government source located</t>
        </is>
      </c>
      <c r="Z42" s="349" t="inlineStr">
        <is>
          <t>Needs deeper state-specific verification before relying on this field.</t>
        </is>
      </c>
      <c r="AA42" s="349" t="inlineStr">
        <is>
          <t>This is a conservative research status, not a legal conclusion that no duty exists. It only means no direct state government source was located in this pass.</t>
        </is>
      </c>
    </row>
    <row r="43" ht="54.75" customHeight="1" s="355">
      <c r="A43" s="340" t="inlineStr">
        <is>
          <t>Tennessee</t>
        </is>
      </c>
      <c r="B43" s="340" t="inlineStr">
        <is>
          <t>25/50</t>
        </is>
      </c>
      <c r="C43" s="340" t="inlineStr">
        <is>
          <t>25</t>
        </is>
      </c>
      <c r="D43" s="340" t="inlineStr">
        <is>
          <t>Not required</t>
        </is>
      </c>
      <c r="E43" s="340" t="inlineStr">
        <is>
          <t>Required unless rejected in writing</t>
        </is>
      </c>
      <c r="F43" s="340" t="inlineStr">
        <is>
          <t>Included within UM statute; may be rejected</t>
        </is>
      </c>
      <c r="G43" s="340" t="inlineStr">
        <is>
          <t>1 year</t>
        </is>
      </c>
      <c r="H43" s="340" t="inlineStr">
        <is>
          <t>3 years</t>
        </is>
      </c>
      <c r="I43" s="498" t="inlineStr">
        <is>
          <t>TN Code §55-12-102 BI financial responsibility limits</t>
        </is>
      </c>
      <c r="J43" s="498" t="inlineStr">
        <is>
          <t>TN Code §55-12-102 PD financial responsibility limits</t>
        </is>
      </c>
      <c r="K43" s="498" t="inlineStr">
        <is>
          <t>TN Revenue minimum liability requirements / no PIP listed</t>
        </is>
      </c>
      <c r="L43" s="498" t="inlineStr">
        <is>
          <t>TN TDCI notes UM statute/rejection rule</t>
        </is>
      </c>
      <c r="M43" s="498" t="inlineStr">
        <is>
          <t>Tennessee Personal-Injury SOL §28-3-104</t>
        </is>
      </c>
      <c r="N43" s="498" t="inlineStr">
        <is>
          <t>Tennessee Property-Damage SOL §28-3-105</t>
        </is>
      </c>
      <c r="O43" s="340" t="inlineStr">
        <is>
          <t>Current</t>
        </is>
      </c>
      <c r="P43" s="340" t="inlineStr">
        <is>
          <t>Direct TN Code section link used</t>
        </is>
      </c>
      <c r="Q43" s="340" t="inlineStr">
        <is>
          <t>Direct TN Code §55-12-102 link used for 25/50/25 current limits after Dec. 31, 2022.</t>
        </is>
      </c>
      <c r="R43" s="349" t="inlineStr">
        <is>
          <t>First-party only source located. Tennessee unfair-claims rule requires disclosure of pertinent benefits, coverages, or provisions to first-party claimants upon request.</t>
        </is>
      </c>
      <c r="S43" s="349" t="inlineStr">
        <is>
          <t>First-party / policyholder claim only</t>
        </is>
      </c>
      <c r="T43" s="349" t="inlineStr">
        <is>
          <t>First-party claimant.</t>
        </is>
      </c>
      <c r="U43" s="349" t="inlineStr">
        <is>
          <t>Upon request; no separate deadline identified in cited rule excerpt.</t>
        </is>
      </c>
      <c r="V43" s="349" t="inlineStr">
        <is>
          <t>Pertinent benefits, coverages, or other provisions of the policy/contract under which claim is presented.</t>
        </is>
      </c>
      <c r="W43" s="349" t="inlineStr">
        <is>
          <t>Tennessee Dept. of Commerce &amp; Insurance rule filing 0780-01-05</t>
        </is>
      </c>
      <c r="X43" s="349" t="inlineStr">
        <is>
          <t>https://www.tn.gov/content/dam/tn/commerce/documents/insurance/hearingnotice/0780-01-05_Unfair_Claims_Practices_Filing.pdf</t>
        </is>
      </c>
      <c r="Y43" s="349" t="inlineStr">
        <is>
          <t>State insurance department rule document</t>
        </is>
      </c>
      <c r="Z43" s="349" t="inlineStr">
        <is>
          <t>Official regulator source located for first-party claims only.</t>
        </is>
      </c>
      <c r="AA43" s="349" t="inlineStr">
        <is>
          <t>This does not confirm a third-party claimant/attorney right to auto liability limits or declarations pages.</t>
        </is>
      </c>
    </row>
    <row r="44" ht="54.75" customHeight="1" s="355">
      <c r="A44" s="340" t="inlineStr">
        <is>
          <t>Texas</t>
        </is>
      </c>
      <c r="B44" s="340" t="inlineStr">
        <is>
          <t>30/60</t>
        </is>
      </c>
      <c r="C44" s="340" t="inlineStr">
        <is>
          <t>25</t>
        </is>
      </c>
      <c r="D44" s="340" t="inlineStr">
        <is>
          <t>Must be offered; may be rejected in writing</t>
        </is>
      </c>
      <c r="E44" s="340" t="inlineStr">
        <is>
          <t>Must be offered; may be rejected in writing</t>
        </is>
      </c>
      <c r="F44" s="340" t="inlineStr">
        <is>
          <t>Must be offered; may be rejected in writing</t>
        </is>
      </c>
      <c r="G44" s="340" t="inlineStr">
        <is>
          <t>2 years</t>
        </is>
      </c>
      <c r="H44" s="340" t="inlineStr">
        <is>
          <t>2 years</t>
        </is>
      </c>
      <c r="I44" s="498" t="inlineStr">
        <is>
          <t>Texas BI minimum source</t>
        </is>
      </c>
      <c r="J44" s="498" t="inlineStr">
        <is>
          <t>Texas PD minimum source</t>
        </is>
      </c>
      <c r="K44" s="498" t="inlineStr">
        <is>
          <t>Texas PIP/UM/UIM Insurance Code Ch. 1952</t>
        </is>
      </c>
      <c r="L44" s="498" t="inlineStr">
        <is>
          <t>Texas UM/UIM Insurance Code Ch. 1952</t>
        </is>
      </c>
      <c r="M44" s="498" t="inlineStr">
        <is>
          <t>Texas SOL CPRC Ch. 16</t>
        </is>
      </c>
      <c r="N44" s="498" t="inlineStr">
        <is>
          <t>Texas SOL CPRC Ch. 16</t>
        </is>
      </c>
      <c r="O44" s="340" t="inlineStr">
        <is>
          <t>Current</t>
        </is>
      </c>
      <c r="P44" s="340" t="inlineStr">
        <is>
          <t>Official statute source used</t>
        </is>
      </c>
      <c r="Q44" s="340" t="inlineStr">
        <is>
          <t>PIP and UM/UIM are offer/rejection coverages. BI and PD source columns are split for coverage-specific traceability.</t>
        </is>
      </c>
      <c r="R44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44" s="349" t="inlineStr">
        <is>
          <t>Not located / verify</t>
        </is>
      </c>
      <c r="T44" s="349" t="inlineStr">
        <is>
          <t>Not confirmed from official government source</t>
        </is>
      </c>
      <c r="U44" s="349" t="inlineStr">
        <is>
          <t>Not confirmed</t>
        </is>
      </c>
      <c r="V44" s="349" t="inlineStr">
        <is>
          <t>Not confirmed</t>
        </is>
      </c>
      <c r="W44" s="349" t="str"/>
      <c r="X44" s="349" t="str"/>
      <c r="Y44" s="349" t="inlineStr">
        <is>
          <t>No positive government source located</t>
        </is>
      </c>
      <c r="Z44" s="349" t="inlineStr">
        <is>
          <t>Needs deeper state-specific verification before relying on this field.</t>
        </is>
      </c>
      <c r="AA44" s="349" t="inlineStr">
        <is>
          <t>This is a conservative research status, not a legal conclusion that no duty exists. It only means no direct state government source was located in this pass.</t>
        </is>
      </c>
    </row>
    <row r="45" ht="54.75" customHeight="1" s="355">
      <c r="A45" s="340" t="inlineStr">
        <is>
          <t>Utah</t>
        </is>
      </c>
      <c r="B45" s="340" t="inlineStr">
        <is>
          <t>30/65</t>
        </is>
      </c>
      <c r="C45" s="340" t="inlineStr">
        <is>
          <t>25</t>
        </is>
      </c>
      <c r="D45" s="340" t="inlineStr">
        <is>
          <t>3,000</t>
        </is>
      </c>
      <c r="E45" s="340" t="inlineStr">
        <is>
          <t>Required</t>
        </is>
      </c>
      <c r="F45" s="340" t="inlineStr">
        <is>
          <t>Required</t>
        </is>
      </c>
      <c r="G45" s="340" t="inlineStr">
        <is>
          <t>4 years</t>
        </is>
      </c>
      <c r="H45" s="340" t="inlineStr">
        <is>
          <t>3 years</t>
        </is>
      </c>
      <c r="I45" s="498" t="inlineStr">
        <is>
          <t>Utah BI minimum source</t>
        </is>
      </c>
      <c r="J45" s="498" t="inlineStr">
        <is>
          <t>Utah PD minimum source</t>
        </is>
      </c>
      <c r="K45" s="498" t="inlineStr">
        <is>
          <t>Utah PIP Statute §31A-22-307</t>
        </is>
      </c>
      <c r="L45" s="498" t="inlineStr">
        <is>
          <t>Utah UM/UIM Statute §31A-22-305</t>
        </is>
      </c>
      <c r="M45" s="498" t="inlineStr">
        <is>
          <t>Utah SOL Statute §78B-2-307</t>
        </is>
      </c>
      <c r="N45" s="498" t="inlineStr">
        <is>
          <t>Utah Property-Damage SOL §78B-2-305</t>
        </is>
      </c>
      <c r="O45" s="340" t="inlineStr">
        <is>
          <t>2025 recent change</t>
        </is>
      </c>
      <c r="P45" s="340" t="inlineStr">
        <is>
          <t>Recent change reflected</t>
        </is>
      </c>
      <c r="Q45" s="340" t="inlineStr">
        <is>
          <t>Utah minimums reflected as 30/65/25. PD SOL differs from BI. BI and PD source columns are split for coverage-specific traceability.</t>
        </is>
      </c>
      <c r="R45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45" s="349" t="inlineStr">
        <is>
          <t>Not located / verify</t>
        </is>
      </c>
      <c r="T45" s="349" t="inlineStr">
        <is>
          <t>Not confirmed from official government source</t>
        </is>
      </c>
      <c r="U45" s="349" t="inlineStr">
        <is>
          <t>Not confirmed</t>
        </is>
      </c>
      <c r="V45" s="349" t="inlineStr">
        <is>
          <t>Not confirmed</t>
        </is>
      </c>
      <c r="W45" s="349" t="str"/>
      <c r="X45" s="349" t="str"/>
      <c r="Y45" s="349" t="inlineStr">
        <is>
          <t>No positive government source located</t>
        </is>
      </c>
      <c r="Z45" s="349" t="inlineStr">
        <is>
          <t>Needs deeper state-specific verification before relying on this field.</t>
        </is>
      </c>
      <c r="AA45" s="349" t="inlineStr">
        <is>
          <t>This is a conservative research status, not a legal conclusion that no duty exists. It only means no direct state government source was located in this pass.</t>
        </is>
      </c>
    </row>
    <row r="46" ht="54.75" customHeight="1" s="355">
      <c r="A46" s="340" t="inlineStr">
        <is>
          <t>Vermont</t>
        </is>
      </c>
      <c r="B46" s="340" t="inlineStr">
        <is>
          <t>25/50</t>
        </is>
      </c>
      <c r="C46" s="340" t="inlineStr">
        <is>
          <t>10</t>
        </is>
      </c>
      <c r="D46" s="340" t="inlineStr">
        <is>
          <t>Not required</t>
        </is>
      </c>
      <c r="E46" s="340" t="inlineStr">
        <is>
          <t>Required</t>
        </is>
      </c>
      <c r="F46" s="340" t="inlineStr">
        <is>
          <t>Required</t>
        </is>
      </c>
      <c r="G46" s="340" t="inlineStr">
        <is>
          <t>3 years</t>
        </is>
      </c>
      <c r="H46" s="340" t="inlineStr">
        <is>
          <t>3 years</t>
        </is>
      </c>
      <c r="I46" s="498" t="inlineStr">
        <is>
          <t>VT Title 23 §801 BI minimum limits</t>
        </is>
      </c>
      <c r="J46" s="498" t="inlineStr">
        <is>
          <t>VT Title 23 §801 PD minimum limits</t>
        </is>
      </c>
      <c r="K46" s="498" t="inlineStr">
        <is>
          <t>VT 23 V.S.A. §801 liability limits / no PIP requirement</t>
        </is>
      </c>
      <c r="L46" s="498" t="inlineStr">
        <is>
          <t>VT 23 V.S.A. §941 UM/UIM coverage requirement</t>
        </is>
      </c>
      <c r="M46" s="498" t="inlineStr">
        <is>
          <t>Vermont SOL Statute 12 §512</t>
        </is>
      </c>
      <c r="N46" s="498" t="inlineStr">
        <is>
          <t>Vermont SOL Statute 12 §512</t>
        </is>
      </c>
      <c r="O46" s="340" t="inlineStr">
        <is>
          <t>Current</t>
        </is>
      </c>
      <c r="P46" s="340" t="inlineStr">
        <is>
          <t>User-confirmed direct VT statute link used</t>
        </is>
      </c>
      <c r="Q46" s="340" t="inlineStr">
        <is>
          <t>BI/PD source uses direct Vermont Title 23 §801 page.</t>
        </is>
      </c>
      <c r="R46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46" s="349" t="inlineStr">
        <is>
          <t>Not located / verify</t>
        </is>
      </c>
      <c r="T46" s="349" t="inlineStr">
        <is>
          <t>Not confirmed from official government source</t>
        </is>
      </c>
      <c r="U46" s="349" t="inlineStr">
        <is>
          <t>Not confirmed</t>
        </is>
      </c>
      <c r="V46" s="349" t="inlineStr">
        <is>
          <t>Not confirmed</t>
        </is>
      </c>
      <c r="W46" s="349" t="str"/>
      <c r="X46" s="349" t="str"/>
      <c r="Y46" s="349" t="inlineStr">
        <is>
          <t>No positive government source located</t>
        </is>
      </c>
      <c r="Z46" s="349" t="inlineStr">
        <is>
          <t>Needs deeper state-specific verification before relying on this field.</t>
        </is>
      </c>
      <c r="AA46" s="349" t="inlineStr">
        <is>
          <t>This is a conservative research status, not a legal conclusion that no duty exists. It only means no direct state government source was located in this pass.</t>
        </is>
      </c>
    </row>
    <row r="47" ht="54.75" customHeight="1" s="355">
      <c r="A47" s="340" t="inlineStr">
        <is>
          <t>Virginia</t>
        </is>
      </c>
      <c r="B47" s="340" t="inlineStr">
        <is>
          <t>50/100</t>
        </is>
      </c>
      <c r="C47" s="340" t="inlineStr">
        <is>
          <t>25</t>
        </is>
      </c>
      <c r="D47" s="340" t="inlineStr">
        <is>
          <t>Not required</t>
        </is>
      </c>
      <c r="E47" s="340" t="inlineStr">
        <is>
          <t>Required</t>
        </is>
      </c>
      <c r="F47" s="340" t="inlineStr">
        <is>
          <t>Required within UM/UIM statute</t>
        </is>
      </c>
      <c r="G47" s="340" t="inlineStr">
        <is>
          <t>2 years</t>
        </is>
      </c>
      <c r="H47" s="340" t="inlineStr">
        <is>
          <t>5 years</t>
        </is>
      </c>
      <c r="I47" s="498" t="inlineStr">
        <is>
          <t>Virginia BI minimum source</t>
        </is>
      </c>
      <c r="J47" s="498" t="inlineStr">
        <is>
          <t>Virginia PD minimum source</t>
        </is>
      </c>
      <c r="K47" s="498" t="inlineStr">
        <is>
          <t>Virginia Liability Statute §46.2-472</t>
        </is>
      </c>
      <c r="L47" s="498" t="inlineStr">
        <is>
          <t>Virginia UM/UIM Statute §38.2-2206</t>
        </is>
      </c>
      <c r="M47" s="498" t="inlineStr">
        <is>
          <t>Virginia SOL Statute §8.01-243</t>
        </is>
      </c>
      <c r="N47" s="498" t="inlineStr">
        <is>
          <t>Virginia Property-Damage SOL §8.01-243</t>
        </is>
      </c>
      <c r="O47" s="340" t="inlineStr">
        <is>
          <t>2025-01-01</t>
        </is>
      </c>
      <c r="P47" s="340" t="inlineStr">
        <is>
          <t>Recent change reflected</t>
        </is>
      </c>
      <c r="Q47" s="340" t="inlineStr">
        <is>
          <t>Liability minimums increased in 2025. PD SOL differs from BI. BI and PD source columns are split for coverage-specific traceability.</t>
        </is>
      </c>
      <c r="R47" s="349" t="inlineStr">
        <is>
          <t>Yes, in qualifying motor-vehicle injury/death situations. Insurer must disclose liability limits and insured address after required written submission.</t>
        </is>
      </c>
      <c r="S47" s="349" t="inlineStr">
        <is>
          <t>Yes - claimant / attorney, conditional</t>
        </is>
      </c>
      <c r="T47" s="349" t="inlineStr">
        <is>
          <t>Injured person, attorney, personal representative, or wrongful-death representative depending on claim type.</t>
        </is>
      </c>
      <c r="U47" s="349" t="inlineStr">
        <is>
          <t>30 days after receipt of qualifying request.</t>
        </is>
      </c>
      <c r="V47" s="349" t="inlineStr">
        <is>
          <t>Limits of liability of applicable motor vehicle/personal injury liability policies and insured physical address if known.</t>
        </is>
      </c>
      <c r="W47" s="349" t="inlineStr">
        <is>
          <t>Virginia Code §8.01-417</t>
        </is>
      </c>
      <c r="X47" s="349" t="inlineStr">
        <is>
          <t>https://law.lis.virginia.gov/vacode/title8.01/chapter14/section8.01-417/</t>
        </is>
      </c>
      <c r="Y47" s="349" t="inlineStr">
        <is>
          <t>State statute</t>
        </is>
      </c>
      <c r="Z47" s="349" t="inlineStr">
        <is>
          <t>Official statute source located.</t>
        </is>
      </c>
      <c r="AA47" s="349" t="inlineStr">
        <is>
          <t>Disclosure is conditional; request must include the materials specified in the statute, and injury/death thresholds/situations matter.</t>
        </is>
      </c>
    </row>
    <row r="48" ht="54.75" customHeight="1" s="355">
      <c r="A48" s="340" t="inlineStr">
        <is>
          <t>Washington</t>
        </is>
      </c>
      <c r="B48" s="340" t="inlineStr">
        <is>
          <t>25/50</t>
        </is>
      </c>
      <c r="C48" s="340" t="inlineStr">
        <is>
          <t>10</t>
        </is>
      </c>
      <c r="D48" s="340" t="inlineStr">
        <is>
          <t>Must be offered; may be rejected in writing</t>
        </is>
      </c>
      <c r="E48" s="340" t="inlineStr">
        <is>
          <t>Must be offered; may be rejected in writing</t>
        </is>
      </c>
      <c r="F48" s="340" t="inlineStr">
        <is>
          <t>Must be offered; may be rejected in writing</t>
        </is>
      </c>
      <c r="G48" s="340" t="inlineStr">
        <is>
          <t>3 years</t>
        </is>
      </c>
      <c r="H48" s="340" t="inlineStr">
        <is>
          <t>3 years</t>
        </is>
      </c>
      <c r="I48" s="498" t="inlineStr">
        <is>
          <t>WA RCW 46.29.090 BI minimum limits</t>
        </is>
      </c>
      <c r="J48" s="498" t="inlineStr">
        <is>
          <t>WA RCW 46.29.090 PD minimum limits</t>
        </is>
      </c>
      <c r="K48" s="498" t="inlineStr">
        <is>
          <t>WA RCW 48.22.095 PIP offer/rejection requirement</t>
        </is>
      </c>
      <c r="L48" s="498" t="inlineStr">
        <is>
          <t>WA RCW 48.22.030 UM/UIM offer/rejection requirement</t>
        </is>
      </c>
      <c r="M48" s="498" t="inlineStr">
        <is>
          <t>Washington SOL Statute RCW 4.16.080</t>
        </is>
      </c>
      <c r="N48" s="498" t="inlineStr">
        <is>
          <t>Washington SOL Statute RCW 4.16.080</t>
        </is>
      </c>
      <c r="O48" s="340" t="inlineStr">
        <is>
          <t>Current</t>
        </is>
      </c>
      <c r="P48" s="340" t="inlineStr">
        <is>
          <t>User-confirmed direct WA RCW link used</t>
        </is>
      </c>
      <c r="Q48" s="340" t="inlineStr">
        <is>
          <t>BI/PD source uses RCW 46.29.090 direct statute page.</t>
        </is>
      </c>
      <c r="R48" s="349" t="inlineStr">
        <is>
          <t>First-party only source located. Washington rule text requires disclosure of pertinent policy benefits/coverages/provisions to first-party claimants.</t>
        </is>
      </c>
      <c r="S48" s="349" t="inlineStr">
        <is>
          <t>First-party / policyholder claim only</t>
        </is>
      </c>
      <c r="T48" s="349" t="inlineStr">
        <is>
          <t>First-party claimant.</t>
        </is>
      </c>
      <c r="U48" s="349" t="inlineStr">
        <is>
          <t>Not specified in cited excerpt.</t>
        </is>
      </c>
      <c r="V48" s="349" t="inlineStr">
        <is>
          <t>All pertinent benefits, coverages, or other provisions of the insurance policy/contract under which a claim is presented.</t>
        </is>
      </c>
      <c r="W48" s="349" t="inlineStr">
        <is>
          <t>Washington State Register WSR 26-07-077 / claims handling rule text</t>
        </is>
      </c>
      <c r="X48" s="349" t="inlineStr">
        <is>
          <t>https://www.courts.wa.gov/court_rules/?fa=court_rules.display&amp;group=sup&amp;ruleid=supcr26&amp;set=cr</t>
        </is>
      </c>
      <c r="Y48" s="349" t="inlineStr">
        <is>
          <t>State register / administrative rule text</t>
        </is>
      </c>
      <c r="Z48" s="349" t="inlineStr">
        <is>
          <t>Official rule source located for first-party claims only.</t>
        </is>
      </c>
      <c r="AA48" s="349" t="inlineStr">
        <is>
          <t>This does not confirm a third-party claimant/attorney right to auto liability limits or declarations pages.</t>
        </is>
      </c>
    </row>
    <row r="49" ht="54.75" customHeight="1" s="355">
      <c r="A49" s="340" t="inlineStr">
        <is>
          <t>West Virginia</t>
        </is>
      </c>
      <c r="B49" s="340" t="inlineStr">
        <is>
          <t>25/50</t>
        </is>
      </c>
      <c r="C49" s="340" t="inlineStr">
        <is>
          <t>25</t>
        </is>
      </c>
      <c r="D49" s="340" t="inlineStr">
        <is>
          <t>Not required</t>
        </is>
      </c>
      <c r="E49" s="340" t="inlineStr">
        <is>
          <t>Required</t>
        </is>
      </c>
      <c r="F49" s="340" t="inlineStr">
        <is>
          <t>Required</t>
        </is>
      </c>
      <c r="G49" s="340" t="inlineStr">
        <is>
          <t>2 years</t>
        </is>
      </c>
      <c r="H49" s="340" t="inlineStr">
        <is>
          <t>2 years</t>
        </is>
      </c>
      <c r="I49" s="498" t="inlineStr">
        <is>
          <t>West Virginia BI minimum source</t>
        </is>
      </c>
      <c r="J49" s="498" t="inlineStr">
        <is>
          <t>West Virginia PD minimum source</t>
        </is>
      </c>
      <c r="K49" s="498" t="inlineStr">
        <is>
          <t>West Virginia Liability Statute §17D-4-2</t>
        </is>
      </c>
      <c r="L49" s="498" t="inlineStr">
        <is>
          <t>West Virginia UM/UIM Statute §33-6-31</t>
        </is>
      </c>
      <c r="M49" s="498" t="inlineStr">
        <is>
          <t>West Virginia SOL Statute §55-2-12</t>
        </is>
      </c>
      <c r="N49" s="498" t="inlineStr">
        <is>
          <t>West Virginia SOL Statute §55-2-12</t>
        </is>
      </c>
      <c r="O49" s="340" t="inlineStr">
        <is>
          <t>Current</t>
        </is>
      </c>
      <c r="P49" s="340" t="inlineStr">
        <is>
          <t>Official statute source used</t>
        </is>
      </c>
      <c r="Q49" s="340" t="inlineStr">
        <is>
          <t>UM/UIM required under statute. BI and PD source columns are split for coverage-specific traceability.</t>
        </is>
      </c>
      <c r="R49" s="349" t="inlineStr">
        <is>
          <t>Yes. Automobile liability insurer must provide response with insurer, named insured, and motor vehicle liability limits information.</t>
        </is>
      </c>
      <c r="S49" s="349" t="inlineStr">
        <is>
          <t>Yes - claimant / attorney</t>
        </is>
      </c>
      <c r="T49" s="349" t="inlineStr">
        <is>
          <t>Requesting claimant or claimant representative under statute.</t>
        </is>
      </c>
      <c r="U49" s="349" t="inlineStr">
        <is>
          <t>Statute provides disclosure procedure; source should be reviewed for exact timing and request prerequisites.</t>
        </is>
      </c>
      <c r="V49" s="349" t="inlineStr">
        <is>
          <t>Insurer name, named insured, and limits of motor vehicle liability insurance policy at time of events; response may also state no applicable coverage.</t>
        </is>
      </c>
      <c r="W49" s="349" t="inlineStr">
        <is>
          <t>West Virginia Code §33-6F-2</t>
        </is>
      </c>
      <c r="X49" s="349" t="inlineStr">
        <is>
          <t>https://code.wvlegislature.gov/33-6F-2/</t>
        </is>
      </c>
      <c r="Y49" s="349" t="inlineStr">
        <is>
          <t>State statute</t>
        </is>
      </c>
      <c r="Z49" s="349" t="inlineStr">
        <is>
          <t>Official statute source located.</t>
        </is>
      </c>
      <c r="AA49" s="349" t="inlineStr">
        <is>
          <t>WV statute appears targeted to motor vehicle liability insurance; review full section before use.</t>
        </is>
      </c>
    </row>
    <row r="50" ht="54.75" customHeight="1" s="355">
      <c r="A50" s="340" t="inlineStr">
        <is>
          <t>Wisconsin</t>
        </is>
      </c>
      <c r="B50" s="340" t="inlineStr">
        <is>
          <t>25/50</t>
        </is>
      </c>
      <c r="C50" s="340" t="inlineStr">
        <is>
          <t>10</t>
        </is>
      </c>
      <c r="D50" s="340" t="inlineStr">
        <is>
          <t>Not required</t>
        </is>
      </c>
      <c r="E50" s="340" t="inlineStr">
        <is>
          <t>Required</t>
        </is>
      </c>
      <c r="F50" s="340" t="inlineStr">
        <is>
          <t>Not required / optional coverage</t>
        </is>
      </c>
      <c r="G50" s="340" t="inlineStr">
        <is>
          <t>3 years</t>
        </is>
      </c>
      <c r="H50" s="340" t="inlineStr">
        <is>
          <t>6 years</t>
        </is>
      </c>
      <c r="I50" s="498" t="inlineStr">
        <is>
          <t>WI Stat. §344.33 BI minimum limits</t>
        </is>
      </c>
      <c r="J50" s="498" t="inlineStr">
        <is>
          <t>WI Stat. §344.33 PD minimum limits</t>
        </is>
      </c>
      <c r="K50" s="498" t="inlineStr">
        <is>
          <t>WI Stat. §344.33 liability limits / no PIP requirement</t>
        </is>
      </c>
      <c r="L50" s="498" t="inlineStr">
        <is>
          <t>WI Stat. §632.32 uninsured motorist coverage</t>
        </is>
      </c>
      <c r="M50" s="498" t="inlineStr">
        <is>
          <t>Wisconsin SOL Statute §893.54</t>
        </is>
      </c>
      <c r="N50" s="498" t="inlineStr">
        <is>
          <t>Wisconsin Property-Damage SOL §893.52</t>
        </is>
      </c>
      <c r="O50" s="340" t="inlineStr">
        <is>
          <t>Current</t>
        </is>
      </c>
      <c r="P50" s="340" t="inlineStr">
        <is>
          <t>User-confirmed direct WI statute link used</t>
        </is>
      </c>
      <c r="Q50" s="340" t="inlineStr">
        <is>
          <t>BI/PD source uses Wisconsin Statutes §344.33 direct page.</t>
        </is>
      </c>
      <c r="R50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50" s="349" t="inlineStr">
        <is>
          <t>Not located / verify</t>
        </is>
      </c>
      <c r="T50" s="349" t="inlineStr">
        <is>
          <t>Not confirmed from official government source</t>
        </is>
      </c>
      <c r="U50" s="349" t="inlineStr">
        <is>
          <t>Not confirmed</t>
        </is>
      </c>
      <c r="V50" s="349" t="inlineStr">
        <is>
          <t>Not confirmed</t>
        </is>
      </c>
      <c r="W50" s="349" t="str"/>
      <c r="X50" s="349" t="str"/>
      <c r="Y50" s="349" t="inlineStr">
        <is>
          <t>No positive government source located</t>
        </is>
      </c>
      <c r="Z50" s="349" t="inlineStr">
        <is>
          <t>Needs deeper state-specific verification before relying on this field.</t>
        </is>
      </c>
      <c r="AA50" s="349" t="inlineStr">
        <is>
          <t>This is a conservative research status, not a legal conclusion that no duty exists. It only means no direct state government source was located in this pass.</t>
        </is>
      </c>
    </row>
    <row r="51" ht="54.75" customHeight="1" s="355">
      <c r="A51" s="340" t="inlineStr">
        <is>
          <t>Wyoming</t>
        </is>
      </c>
      <c r="B51" s="340" t="inlineStr">
        <is>
          <t>25/50</t>
        </is>
      </c>
      <c r="C51" s="340" t="inlineStr">
        <is>
          <t>20</t>
        </is>
      </c>
      <c r="D51" s="340" t="inlineStr">
        <is>
          <t>Not required</t>
        </is>
      </c>
      <c r="E51" s="340" t="inlineStr">
        <is>
          <t>Not required / optional coverage</t>
        </is>
      </c>
      <c r="F51" s="340" t="inlineStr">
        <is>
          <t>Not required / optional coverage</t>
        </is>
      </c>
      <c r="G51" s="340" t="inlineStr">
        <is>
          <t>4 years</t>
        </is>
      </c>
      <c r="H51" s="340" t="inlineStr">
        <is>
          <t>4 years</t>
        </is>
      </c>
      <c r="I51" s="498" t="inlineStr">
        <is>
          <t>Wyoming BI minimum source</t>
        </is>
      </c>
      <c r="J51" s="498" t="inlineStr">
        <is>
          <t>Wyoming PD minimum source</t>
        </is>
      </c>
      <c r="K51" s="498" t="inlineStr">
        <is>
          <t>WY mandatory liability statutes / no PIP requirement</t>
        </is>
      </c>
      <c r="L51" s="498" t="inlineStr">
        <is>
          <t>WY insurance statutes / UM/UIM coverage provisions</t>
        </is>
      </c>
      <c r="M51" s="498" t="inlineStr">
        <is>
          <t>Wyoming SOL Code Title 1</t>
        </is>
      </c>
      <c r="N51" s="498" t="inlineStr">
        <is>
          <t>Wyoming SOL Code Title 1</t>
        </is>
      </c>
      <c r="O51" s="340" t="inlineStr">
        <is>
          <t>Current</t>
        </is>
      </c>
      <c r="P51" s="340" t="inlineStr">
        <is>
          <t>Official PDF code source used</t>
        </is>
      </c>
      <c r="Q51" s="340" t="inlineStr">
        <is>
          <t>Wyoming code source is a title-level PDF; use search within PDF for sections. BI and PD source columns are split for coverage-specific traceability.</t>
        </is>
      </c>
      <c r="R51" s="349" t="inlineStr">
        <is>
          <t>No state-specific government source located in this pass requiring insurer disclosure of auto liability policy/declarations information to a third-party claimant or claimant attorney on request.</t>
        </is>
      </c>
      <c r="S51" s="349" t="inlineStr">
        <is>
          <t>Not located / verify</t>
        </is>
      </c>
      <c r="T51" s="349" t="inlineStr">
        <is>
          <t>Not confirmed from official government source</t>
        </is>
      </c>
      <c r="U51" s="349" t="inlineStr">
        <is>
          <t>Not confirmed</t>
        </is>
      </c>
      <c r="V51" s="349" t="inlineStr">
        <is>
          <t>Not confirmed</t>
        </is>
      </c>
      <c r="W51" s="349" t="str"/>
      <c r="X51" s="349" t="str"/>
      <c r="Y51" s="349" t="inlineStr">
        <is>
          <t>No positive government source located</t>
        </is>
      </c>
      <c r="Z51" s="349" t="inlineStr">
        <is>
          <t>Needs deeper state-specific verification before relying on this field.</t>
        </is>
      </c>
      <c r="AA51" s="349" t="inlineStr">
        <is>
          <t>This is a conservative research status, not a legal conclusion that no duty exists. It only means no direct state government source was located in this pass.</t>
        </is>
      </c>
    </row>
  </sheetData>
  <conditionalFormatting sqref="S2:S51">
    <cfRule type="expression" priority="1" dxfId="3">
      <formula>LEFT(S2,3)="Yes"</formula>
    </cfRule>
    <cfRule type="expression" priority="2" dxfId="4">
      <formula>LEFT(S2,11)="First-party"</formula>
    </cfRule>
    <cfRule type="expression" priority="3" dxfId="5">
      <formula>LEFT(S2,3)="Not"</formula>
    </cfRule>
  </conditionalFormatting>
  <dataValidations count="1">
    <dataValidation sqref="S2:S51" showDropDown="0" showInputMessage="0" showErrorMessage="0" allowBlank="0" type="list">
      <formula1>"Yes - claimant / attorney,Yes - claimant / attorney, conditional,Yes - claimant,First-party / policyholder claim only,Not located / verify,Proposed / verify"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N2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K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N3" r:id="rId12"/>
    <hyperlink xmlns:r="http://schemas.openxmlformats.org/officeDocument/2006/relationships" ref="I4" r:id="rId13"/>
    <hyperlink xmlns:r="http://schemas.openxmlformats.org/officeDocument/2006/relationships" ref="J4" r:id="rId14"/>
    <hyperlink xmlns:r="http://schemas.openxmlformats.org/officeDocument/2006/relationships" ref="K4" r:id="rId15"/>
    <hyperlink xmlns:r="http://schemas.openxmlformats.org/officeDocument/2006/relationships" ref="L4" r:id="rId16"/>
    <hyperlink xmlns:r="http://schemas.openxmlformats.org/officeDocument/2006/relationships" ref="M4" r:id="rId17"/>
    <hyperlink xmlns:r="http://schemas.openxmlformats.org/officeDocument/2006/relationships" ref="N4" r:id="rId18"/>
    <hyperlink xmlns:r="http://schemas.openxmlformats.org/officeDocument/2006/relationships" ref="I5" r:id="rId19"/>
    <hyperlink xmlns:r="http://schemas.openxmlformats.org/officeDocument/2006/relationships" ref="J5" r:id="rId20"/>
    <hyperlink xmlns:r="http://schemas.openxmlformats.org/officeDocument/2006/relationships" ref="K5" r:id="rId21"/>
    <hyperlink xmlns:r="http://schemas.openxmlformats.org/officeDocument/2006/relationships" ref="L5" r:id="rId22"/>
    <hyperlink xmlns:r="http://schemas.openxmlformats.org/officeDocument/2006/relationships" ref="M5" r:id="rId23"/>
    <hyperlink xmlns:r="http://schemas.openxmlformats.org/officeDocument/2006/relationships" ref="N5" r:id="rId24"/>
    <hyperlink xmlns:r="http://schemas.openxmlformats.org/officeDocument/2006/relationships" ref="I6" r:id="rId25"/>
    <hyperlink xmlns:r="http://schemas.openxmlformats.org/officeDocument/2006/relationships" ref="J6" r:id="rId26"/>
    <hyperlink xmlns:r="http://schemas.openxmlformats.org/officeDocument/2006/relationships" ref="K6" r:id="rId27"/>
    <hyperlink xmlns:r="http://schemas.openxmlformats.org/officeDocument/2006/relationships" ref="L6" r:id="rId28"/>
    <hyperlink xmlns:r="http://schemas.openxmlformats.org/officeDocument/2006/relationships" ref="M6" r:id="rId29"/>
    <hyperlink xmlns:r="http://schemas.openxmlformats.org/officeDocument/2006/relationships" ref="N6" r:id="rId30"/>
    <hyperlink xmlns:r="http://schemas.openxmlformats.org/officeDocument/2006/relationships" ref="I7" r:id="rId31"/>
    <hyperlink xmlns:r="http://schemas.openxmlformats.org/officeDocument/2006/relationships" ref="J7" r:id="rId32"/>
    <hyperlink xmlns:r="http://schemas.openxmlformats.org/officeDocument/2006/relationships" ref="K7" r:id="rId33"/>
    <hyperlink xmlns:r="http://schemas.openxmlformats.org/officeDocument/2006/relationships" ref="L7" r:id="rId34"/>
    <hyperlink xmlns:r="http://schemas.openxmlformats.org/officeDocument/2006/relationships" ref="M7" r:id="rId35"/>
    <hyperlink xmlns:r="http://schemas.openxmlformats.org/officeDocument/2006/relationships" ref="N7" r:id="rId36"/>
    <hyperlink xmlns:r="http://schemas.openxmlformats.org/officeDocument/2006/relationships" ref="I8" r:id="rId37"/>
    <hyperlink xmlns:r="http://schemas.openxmlformats.org/officeDocument/2006/relationships" ref="J8" r:id="rId38"/>
    <hyperlink xmlns:r="http://schemas.openxmlformats.org/officeDocument/2006/relationships" ref="K8" r:id="rId39"/>
    <hyperlink xmlns:r="http://schemas.openxmlformats.org/officeDocument/2006/relationships" ref="L8" r:id="rId40"/>
    <hyperlink xmlns:r="http://schemas.openxmlformats.org/officeDocument/2006/relationships" ref="M8" r:id="rId41"/>
    <hyperlink xmlns:r="http://schemas.openxmlformats.org/officeDocument/2006/relationships" ref="N8" r:id="rId42"/>
    <hyperlink xmlns:r="http://schemas.openxmlformats.org/officeDocument/2006/relationships" ref="I9" r:id="rId43"/>
    <hyperlink xmlns:r="http://schemas.openxmlformats.org/officeDocument/2006/relationships" ref="J9" r:id="rId44"/>
    <hyperlink xmlns:r="http://schemas.openxmlformats.org/officeDocument/2006/relationships" ref="K9" r:id="rId45"/>
    <hyperlink xmlns:r="http://schemas.openxmlformats.org/officeDocument/2006/relationships" ref="L9" r:id="rId46"/>
    <hyperlink xmlns:r="http://schemas.openxmlformats.org/officeDocument/2006/relationships" ref="M9" r:id="rId47"/>
    <hyperlink xmlns:r="http://schemas.openxmlformats.org/officeDocument/2006/relationships" ref="N9" r:id="rId48"/>
    <hyperlink xmlns:r="http://schemas.openxmlformats.org/officeDocument/2006/relationships" ref="I10" r:id="rId49"/>
    <hyperlink xmlns:r="http://schemas.openxmlformats.org/officeDocument/2006/relationships" ref="J10" r:id="rId50"/>
    <hyperlink xmlns:r="http://schemas.openxmlformats.org/officeDocument/2006/relationships" ref="K10" r:id="rId51"/>
    <hyperlink xmlns:r="http://schemas.openxmlformats.org/officeDocument/2006/relationships" ref="L10" r:id="rId52"/>
    <hyperlink xmlns:r="http://schemas.openxmlformats.org/officeDocument/2006/relationships" ref="M10" r:id="rId53"/>
    <hyperlink xmlns:r="http://schemas.openxmlformats.org/officeDocument/2006/relationships" ref="N10" r:id="rId54"/>
    <hyperlink xmlns:r="http://schemas.openxmlformats.org/officeDocument/2006/relationships" ref="I11" r:id="rId55"/>
    <hyperlink xmlns:r="http://schemas.openxmlformats.org/officeDocument/2006/relationships" ref="J11" r:id="rId56"/>
    <hyperlink xmlns:r="http://schemas.openxmlformats.org/officeDocument/2006/relationships" ref="K11" r:id="rId57"/>
    <hyperlink xmlns:r="http://schemas.openxmlformats.org/officeDocument/2006/relationships" ref="L11" r:id="rId58"/>
    <hyperlink xmlns:r="http://schemas.openxmlformats.org/officeDocument/2006/relationships" ref="M11" r:id="rId59"/>
    <hyperlink xmlns:r="http://schemas.openxmlformats.org/officeDocument/2006/relationships" ref="N11" r:id="rId60"/>
    <hyperlink xmlns:r="http://schemas.openxmlformats.org/officeDocument/2006/relationships" ref="I12" r:id="rId61"/>
    <hyperlink xmlns:r="http://schemas.openxmlformats.org/officeDocument/2006/relationships" ref="J12" r:id="rId62"/>
    <hyperlink xmlns:r="http://schemas.openxmlformats.org/officeDocument/2006/relationships" ref="K12" r:id="rId63"/>
    <hyperlink xmlns:r="http://schemas.openxmlformats.org/officeDocument/2006/relationships" ref="L12" r:id="rId64"/>
    <hyperlink xmlns:r="http://schemas.openxmlformats.org/officeDocument/2006/relationships" ref="M12" r:id="rId65"/>
    <hyperlink xmlns:r="http://schemas.openxmlformats.org/officeDocument/2006/relationships" ref="N12" r:id="rId66"/>
    <hyperlink xmlns:r="http://schemas.openxmlformats.org/officeDocument/2006/relationships" ref="I13" r:id="rId67"/>
    <hyperlink xmlns:r="http://schemas.openxmlformats.org/officeDocument/2006/relationships" ref="J13" r:id="rId68"/>
    <hyperlink xmlns:r="http://schemas.openxmlformats.org/officeDocument/2006/relationships" ref="K13" r:id="rId69"/>
    <hyperlink xmlns:r="http://schemas.openxmlformats.org/officeDocument/2006/relationships" ref="L13" r:id="rId70"/>
    <hyperlink xmlns:r="http://schemas.openxmlformats.org/officeDocument/2006/relationships" ref="M13" r:id="rId71"/>
    <hyperlink xmlns:r="http://schemas.openxmlformats.org/officeDocument/2006/relationships" ref="N13" r:id="rId72"/>
    <hyperlink xmlns:r="http://schemas.openxmlformats.org/officeDocument/2006/relationships" ref="I14" r:id="rId73"/>
    <hyperlink xmlns:r="http://schemas.openxmlformats.org/officeDocument/2006/relationships" ref="J14" r:id="rId74"/>
    <hyperlink xmlns:r="http://schemas.openxmlformats.org/officeDocument/2006/relationships" ref="K14" r:id="rId75"/>
    <hyperlink xmlns:r="http://schemas.openxmlformats.org/officeDocument/2006/relationships" ref="L14" r:id="rId76"/>
    <hyperlink xmlns:r="http://schemas.openxmlformats.org/officeDocument/2006/relationships" ref="M14" r:id="rId77"/>
    <hyperlink xmlns:r="http://schemas.openxmlformats.org/officeDocument/2006/relationships" ref="N14" r:id="rId78"/>
    <hyperlink xmlns:r="http://schemas.openxmlformats.org/officeDocument/2006/relationships" ref="I15" r:id="rId79"/>
    <hyperlink xmlns:r="http://schemas.openxmlformats.org/officeDocument/2006/relationships" ref="J15" r:id="rId80"/>
    <hyperlink xmlns:r="http://schemas.openxmlformats.org/officeDocument/2006/relationships" ref="K15" r:id="rId81"/>
    <hyperlink xmlns:r="http://schemas.openxmlformats.org/officeDocument/2006/relationships" ref="L15" r:id="rId82"/>
    <hyperlink xmlns:r="http://schemas.openxmlformats.org/officeDocument/2006/relationships" ref="M15" r:id="rId83"/>
    <hyperlink xmlns:r="http://schemas.openxmlformats.org/officeDocument/2006/relationships" ref="N15" r:id="rId84"/>
    <hyperlink xmlns:r="http://schemas.openxmlformats.org/officeDocument/2006/relationships" ref="I16" r:id="rId85"/>
    <hyperlink xmlns:r="http://schemas.openxmlformats.org/officeDocument/2006/relationships" ref="J16" r:id="rId86"/>
    <hyperlink xmlns:r="http://schemas.openxmlformats.org/officeDocument/2006/relationships" ref="K16" r:id="rId87"/>
    <hyperlink xmlns:r="http://schemas.openxmlformats.org/officeDocument/2006/relationships" ref="L16" r:id="rId88"/>
    <hyperlink xmlns:r="http://schemas.openxmlformats.org/officeDocument/2006/relationships" ref="M16" r:id="rId89"/>
    <hyperlink xmlns:r="http://schemas.openxmlformats.org/officeDocument/2006/relationships" ref="N16" r:id="rId90"/>
    <hyperlink xmlns:r="http://schemas.openxmlformats.org/officeDocument/2006/relationships" ref="I17" r:id="rId91"/>
    <hyperlink xmlns:r="http://schemas.openxmlformats.org/officeDocument/2006/relationships" ref="J17" r:id="rId92"/>
    <hyperlink xmlns:r="http://schemas.openxmlformats.org/officeDocument/2006/relationships" ref="K17" r:id="rId93"/>
    <hyperlink xmlns:r="http://schemas.openxmlformats.org/officeDocument/2006/relationships" ref="L17" r:id="rId94"/>
    <hyperlink xmlns:r="http://schemas.openxmlformats.org/officeDocument/2006/relationships" ref="M17" r:id="rId95"/>
    <hyperlink xmlns:r="http://schemas.openxmlformats.org/officeDocument/2006/relationships" ref="N17" r:id="rId96"/>
    <hyperlink xmlns:r="http://schemas.openxmlformats.org/officeDocument/2006/relationships" ref="I18" r:id="rId97"/>
    <hyperlink xmlns:r="http://schemas.openxmlformats.org/officeDocument/2006/relationships" ref="J18" r:id="rId98"/>
    <hyperlink xmlns:r="http://schemas.openxmlformats.org/officeDocument/2006/relationships" ref="K18" r:id="rId99"/>
    <hyperlink xmlns:r="http://schemas.openxmlformats.org/officeDocument/2006/relationships" ref="L18" r:id="rId100"/>
    <hyperlink xmlns:r="http://schemas.openxmlformats.org/officeDocument/2006/relationships" ref="M18" r:id="rId101"/>
    <hyperlink xmlns:r="http://schemas.openxmlformats.org/officeDocument/2006/relationships" ref="N18" r:id="rId102"/>
    <hyperlink xmlns:r="http://schemas.openxmlformats.org/officeDocument/2006/relationships" ref="I19" r:id="rId103"/>
    <hyperlink xmlns:r="http://schemas.openxmlformats.org/officeDocument/2006/relationships" ref="J19" r:id="rId104"/>
    <hyperlink xmlns:r="http://schemas.openxmlformats.org/officeDocument/2006/relationships" ref="K19" r:id="rId105"/>
    <hyperlink xmlns:r="http://schemas.openxmlformats.org/officeDocument/2006/relationships" ref="L19" r:id="rId106"/>
    <hyperlink xmlns:r="http://schemas.openxmlformats.org/officeDocument/2006/relationships" ref="M19" r:id="rId107"/>
    <hyperlink xmlns:r="http://schemas.openxmlformats.org/officeDocument/2006/relationships" ref="N19" r:id="rId108"/>
    <hyperlink xmlns:r="http://schemas.openxmlformats.org/officeDocument/2006/relationships" ref="I20" r:id="rId109"/>
    <hyperlink xmlns:r="http://schemas.openxmlformats.org/officeDocument/2006/relationships" ref="J20" r:id="rId110"/>
    <hyperlink xmlns:r="http://schemas.openxmlformats.org/officeDocument/2006/relationships" ref="K20" r:id="rId111"/>
    <hyperlink xmlns:r="http://schemas.openxmlformats.org/officeDocument/2006/relationships" ref="L20" r:id="rId112"/>
    <hyperlink xmlns:r="http://schemas.openxmlformats.org/officeDocument/2006/relationships" ref="M20" r:id="rId113"/>
    <hyperlink xmlns:r="http://schemas.openxmlformats.org/officeDocument/2006/relationships" ref="N20" r:id="rId114"/>
    <hyperlink xmlns:r="http://schemas.openxmlformats.org/officeDocument/2006/relationships" ref="I21" r:id="rId115"/>
    <hyperlink xmlns:r="http://schemas.openxmlformats.org/officeDocument/2006/relationships" ref="J21" r:id="rId116"/>
    <hyperlink xmlns:r="http://schemas.openxmlformats.org/officeDocument/2006/relationships" ref="K21" r:id="rId117"/>
    <hyperlink xmlns:r="http://schemas.openxmlformats.org/officeDocument/2006/relationships" ref="L21" r:id="rId118"/>
    <hyperlink xmlns:r="http://schemas.openxmlformats.org/officeDocument/2006/relationships" ref="M21" r:id="rId119"/>
    <hyperlink xmlns:r="http://schemas.openxmlformats.org/officeDocument/2006/relationships" ref="N21" r:id="rId120"/>
    <hyperlink xmlns:r="http://schemas.openxmlformats.org/officeDocument/2006/relationships" ref="I22" r:id="rId121"/>
    <hyperlink xmlns:r="http://schemas.openxmlformats.org/officeDocument/2006/relationships" ref="J22" r:id="rId122"/>
    <hyperlink xmlns:r="http://schemas.openxmlformats.org/officeDocument/2006/relationships" ref="K22" r:id="rId123"/>
    <hyperlink xmlns:r="http://schemas.openxmlformats.org/officeDocument/2006/relationships" ref="L22" r:id="rId124"/>
    <hyperlink xmlns:r="http://schemas.openxmlformats.org/officeDocument/2006/relationships" ref="M22" r:id="rId125"/>
    <hyperlink xmlns:r="http://schemas.openxmlformats.org/officeDocument/2006/relationships" ref="N22" r:id="rId126"/>
    <hyperlink xmlns:r="http://schemas.openxmlformats.org/officeDocument/2006/relationships" ref="I23" r:id="rId127"/>
    <hyperlink xmlns:r="http://schemas.openxmlformats.org/officeDocument/2006/relationships" ref="J23" r:id="rId128"/>
    <hyperlink xmlns:r="http://schemas.openxmlformats.org/officeDocument/2006/relationships" ref="K23" r:id="rId129"/>
    <hyperlink xmlns:r="http://schemas.openxmlformats.org/officeDocument/2006/relationships" ref="L23" r:id="rId130"/>
    <hyperlink xmlns:r="http://schemas.openxmlformats.org/officeDocument/2006/relationships" ref="M23" r:id="rId131"/>
    <hyperlink xmlns:r="http://schemas.openxmlformats.org/officeDocument/2006/relationships" ref="N23" r:id="rId132"/>
    <hyperlink xmlns:r="http://schemas.openxmlformats.org/officeDocument/2006/relationships" ref="I24" r:id="rId133"/>
    <hyperlink xmlns:r="http://schemas.openxmlformats.org/officeDocument/2006/relationships" ref="J24" r:id="rId134"/>
    <hyperlink xmlns:r="http://schemas.openxmlformats.org/officeDocument/2006/relationships" ref="K24" r:id="rId135"/>
    <hyperlink xmlns:r="http://schemas.openxmlformats.org/officeDocument/2006/relationships" ref="L24" r:id="rId136"/>
    <hyperlink xmlns:r="http://schemas.openxmlformats.org/officeDocument/2006/relationships" ref="M24" r:id="rId137"/>
    <hyperlink xmlns:r="http://schemas.openxmlformats.org/officeDocument/2006/relationships" ref="N24" r:id="rId138"/>
    <hyperlink xmlns:r="http://schemas.openxmlformats.org/officeDocument/2006/relationships" ref="I25" r:id="rId139"/>
    <hyperlink xmlns:r="http://schemas.openxmlformats.org/officeDocument/2006/relationships" ref="J25" r:id="rId140"/>
    <hyperlink xmlns:r="http://schemas.openxmlformats.org/officeDocument/2006/relationships" ref="K25" r:id="rId141"/>
    <hyperlink xmlns:r="http://schemas.openxmlformats.org/officeDocument/2006/relationships" ref="L25" r:id="rId142"/>
    <hyperlink xmlns:r="http://schemas.openxmlformats.org/officeDocument/2006/relationships" ref="M25" r:id="rId143"/>
    <hyperlink xmlns:r="http://schemas.openxmlformats.org/officeDocument/2006/relationships" ref="N25" r:id="rId144"/>
    <hyperlink xmlns:r="http://schemas.openxmlformats.org/officeDocument/2006/relationships" ref="I26" r:id="rId145"/>
    <hyperlink xmlns:r="http://schemas.openxmlformats.org/officeDocument/2006/relationships" ref="J26" r:id="rId146"/>
    <hyperlink xmlns:r="http://schemas.openxmlformats.org/officeDocument/2006/relationships" ref="K26" r:id="rId147"/>
    <hyperlink xmlns:r="http://schemas.openxmlformats.org/officeDocument/2006/relationships" ref="L26" r:id="rId148"/>
    <hyperlink xmlns:r="http://schemas.openxmlformats.org/officeDocument/2006/relationships" ref="M26" r:id="rId149"/>
    <hyperlink xmlns:r="http://schemas.openxmlformats.org/officeDocument/2006/relationships" ref="N26" r:id="rId150"/>
    <hyperlink xmlns:r="http://schemas.openxmlformats.org/officeDocument/2006/relationships" ref="I27" r:id="rId151"/>
    <hyperlink xmlns:r="http://schemas.openxmlformats.org/officeDocument/2006/relationships" ref="J27" r:id="rId152"/>
    <hyperlink xmlns:r="http://schemas.openxmlformats.org/officeDocument/2006/relationships" ref="K27" r:id="rId153"/>
    <hyperlink xmlns:r="http://schemas.openxmlformats.org/officeDocument/2006/relationships" ref="L27" r:id="rId154"/>
    <hyperlink xmlns:r="http://schemas.openxmlformats.org/officeDocument/2006/relationships" ref="M27" r:id="rId155"/>
    <hyperlink xmlns:r="http://schemas.openxmlformats.org/officeDocument/2006/relationships" ref="N27" r:id="rId156"/>
    <hyperlink xmlns:r="http://schemas.openxmlformats.org/officeDocument/2006/relationships" ref="I28" r:id="rId157"/>
    <hyperlink xmlns:r="http://schemas.openxmlformats.org/officeDocument/2006/relationships" ref="J28" r:id="rId158"/>
    <hyperlink xmlns:r="http://schemas.openxmlformats.org/officeDocument/2006/relationships" ref="K28" r:id="rId159"/>
    <hyperlink xmlns:r="http://schemas.openxmlformats.org/officeDocument/2006/relationships" ref="L28" r:id="rId160"/>
    <hyperlink xmlns:r="http://schemas.openxmlformats.org/officeDocument/2006/relationships" ref="M28" r:id="rId161"/>
    <hyperlink xmlns:r="http://schemas.openxmlformats.org/officeDocument/2006/relationships" ref="N28" r:id="rId162"/>
    <hyperlink xmlns:r="http://schemas.openxmlformats.org/officeDocument/2006/relationships" ref="I29" r:id="rId163"/>
    <hyperlink xmlns:r="http://schemas.openxmlformats.org/officeDocument/2006/relationships" ref="J29" r:id="rId164"/>
    <hyperlink xmlns:r="http://schemas.openxmlformats.org/officeDocument/2006/relationships" ref="K29" r:id="rId165"/>
    <hyperlink xmlns:r="http://schemas.openxmlformats.org/officeDocument/2006/relationships" ref="L29" r:id="rId166"/>
    <hyperlink xmlns:r="http://schemas.openxmlformats.org/officeDocument/2006/relationships" ref="M29" r:id="rId167"/>
    <hyperlink xmlns:r="http://schemas.openxmlformats.org/officeDocument/2006/relationships" ref="N29" r:id="rId168"/>
    <hyperlink xmlns:r="http://schemas.openxmlformats.org/officeDocument/2006/relationships" ref="I30" r:id="rId169"/>
    <hyperlink xmlns:r="http://schemas.openxmlformats.org/officeDocument/2006/relationships" ref="J30" r:id="rId170"/>
    <hyperlink xmlns:r="http://schemas.openxmlformats.org/officeDocument/2006/relationships" ref="K30" r:id="rId171"/>
    <hyperlink xmlns:r="http://schemas.openxmlformats.org/officeDocument/2006/relationships" ref="L30" r:id="rId172"/>
    <hyperlink xmlns:r="http://schemas.openxmlformats.org/officeDocument/2006/relationships" ref="M30" r:id="rId173"/>
    <hyperlink xmlns:r="http://schemas.openxmlformats.org/officeDocument/2006/relationships" ref="N30" r:id="rId174"/>
    <hyperlink xmlns:r="http://schemas.openxmlformats.org/officeDocument/2006/relationships" ref="I31" r:id="rId175"/>
    <hyperlink xmlns:r="http://schemas.openxmlformats.org/officeDocument/2006/relationships" ref="J31" r:id="rId176"/>
    <hyperlink xmlns:r="http://schemas.openxmlformats.org/officeDocument/2006/relationships" ref="K31" r:id="rId177"/>
    <hyperlink xmlns:r="http://schemas.openxmlformats.org/officeDocument/2006/relationships" ref="L31" r:id="rId178"/>
    <hyperlink xmlns:r="http://schemas.openxmlformats.org/officeDocument/2006/relationships" ref="M31" r:id="rId179"/>
    <hyperlink xmlns:r="http://schemas.openxmlformats.org/officeDocument/2006/relationships" ref="N31" r:id="rId180"/>
    <hyperlink xmlns:r="http://schemas.openxmlformats.org/officeDocument/2006/relationships" ref="I32" r:id="rId181"/>
    <hyperlink xmlns:r="http://schemas.openxmlformats.org/officeDocument/2006/relationships" ref="J32" r:id="rId182"/>
    <hyperlink xmlns:r="http://schemas.openxmlformats.org/officeDocument/2006/relationships" ref="K32" r:id="rId183"/>
    <hyperlink xmlns:r="http://schemas.openxmlformats.org/officeDocument/2006/relationships" ref="L32" r:id="rId184"/>
    <hyperlink xmlns:r="http://schemas.openxmlformats.org/officeDocument/2006/relationships" ref="M32" r:id="rId185"/>
    <hyperlink xmlns:r="http://schemas.openxmlformats.org/officeDocument/2006/relationships" ref="N32" r:id="rId186"/>
    <hyperlink xmlns:r="http://schemas.openxmlformats.org/officeDocument/2006/relationships" ref="I33" r:id="rId187"/>
    <hyperlink xmlns:r="http://schemas.openxmlformats.org/officeDocument/2006/relationships" ref="J33" r:id="rId188"/>
    <hyperlink xmlns:r="http://schemas.openxmlformats.org/officeDocument/2006/relationships" ref="K33" r:id="rId189"/>
    <hyperlink xmlns:r="http://schemas.openxmlformats.org/officeDocument/2006/relationships" ref="L33" r:id="rId190"/>
    <hyperlink xmlns:r="http://schemas.openxmlformats.org/officeDocument/2006/relationships" ref="M33" r:id="rId191"/>
    <hyperlink xmlns:r="http://schemas.openxmlformats.org/officeDocument/2006/relationships" ref="N33" r:id="rId192"/>
    <hyperlink xmlns:r="http://schemas.openxmlformats.org/officeDocument/2006/relationships" ref="I34" r:id="rId193"/>
    <hyperlink xmlns:r="http://schemas.openxmlformats.org/officeDocument/2006/relationships" ref="J34" r:id="rId194"/>
    <hyperlink xmlns:r="http://schemas.openxmlformats.org/officeDocument/2006/relationships" ref="K34" r:id="rId195"/>
    <hyperlink xmlns:r="http://schemas.openxmlformats.org/officeDocument/2006/relationships" ref="L34" r:id="rId196"/>
    <hyperlink xmlns:r="http://schemas.openxmlformats.org/officeDocument/2006/relationships" ref="M34" r:id="rId197"/>
    <hyperlink xmlns:r="http://schemas.openxmlformats.org/officeDocument/2006/relationships" ref="N34" r:id="rId198"/>
    <hyperlink xmlns:r="http://schemas.openxmlformats.org/officeDocument/2006/relationships" ref="I35" r:id="rId199"/>
    <hyperlink xmlns:r="http://schemas.openxmlformats.org/officeDocument/2006/relationships" ref="J35" r:id="rId200"/>
    <hyperlink xmlns:r="http://schemas.openxmlformats.org/officeDocument/2006/relationships" ref="K35" r:id="rId201"/>
    <hyperlink xmlns:r="http://schemas.openxmlformats.org/officeDocument/2006/relationships" ref="L35" r:id="rId202"/>
    <hyperlink xmlns:r="http://schemas.openxmlformats.org/officeDocument/2006/relationships" ref="M35" r:id="rId203"/>
    <hyperlink xmlns:r="http://schemas.openxmlformats.org/officeDocument/2006/relationships" ref="N35" r:id="rId204"/>
    <hyperlink xmlns:r="http://schemas.openxmlformats.org/officeDocument/2006/relationships" ref="I36" r:id="rId205"/>
    <hyperlink xmlns:r="http://schemas.openxmlformats.org/officeDocument/2006/relationships" ref="J36" r:id="rId206"/>
    <hyperlink xmlns:r="http://schemas.openxmlformats.org/officeDocument/2006/relationships" ref="K36" r:id="rId207"/>
    <hyperlink xmlns:r="http://schemas.openxmlformats.org/officeDocument/2006/relationships" ref="L36" r:id="rId208"/>
    <hyperlink xmlns:r="http://schemas.openxmlformats.org/officeDocument/2006/relationships" ref="M36" r:id="rId209"/>
    <hyperlink xmlns:r="http://schemas.openxmlformats.org/officeDocument/2006/relationships" ref="N36" r:id="rId210"/>
    <hyperlink xmlns:r="http://schemas.openxmlformats.org/officeDocument/2006/relationships" ref="I37" r:id="rId211"/>
    <hyperlink xmlns:r="http://schemas.openxmlformats.org/officeDocument/2006/relationships" ref="J37" r:id="rId212"/>
    <hyperlink xmlns:r="http://schemas.openxmlformats.org/officeDocument/2006/relationships" ref="K37" r:id="rId213"/>
    <hyperlink xmlns:r="http://schemas.openxmlformats.org/officeDocument/2006/relationships" ref="L37" r:id="rId214"/>
    <hyperlink xmlns:r="http://schemas.openxmlformats.org/officeDocument/2006/relationships" ref="M37" r:id="rId215"/>
    <hyperlink xmlns:r="http://schemas.openxmlformats.org/officeDocument/2006/relationships" ref="N37" r:id="rId216"/>
    <hyperlink xmlns:r="http://schemas.openxmlformats.org/officeDocument/2006/relationships" ref="I38" r:id="rId217"/>
    <hyperlink xmlns:r="http://schemas.openxmlformats.org/officeDocument/2006/relationships" ref="J38" r:id="rId218"/>
    <hyperlink xmlns:r="http://schemas.openxmlformats.org/officeDocument/2006/relationships" ref="K38" r:id="rId219"/>
    <hyperlink xmlns:r="http://schemas.openxmlformats.org/officeDocument/2006/relationships" ref="L38" r:id="rId220"/>
    <hyperlink xmlns:r="http://schemas.openxmlformats.org/officeDocument/2006/relationships" ref="M38" r:id="rId221"/>
    <hyperlink xmlns:r="http://schemas.openxmlformats.org/officeDocument/2006/relationships" ref="N38" r:id="rId222"/>
    <hyperlink xmlns:r="http://schemas.openxmlformats.org/officeDocument/2006/relationships" ref="I39" r:id="rId223"/>
    <hyperlink xmlns:r="http://schemas.openxmlformats.org/officeDocument/2006/relationships" ref="J39" r:id="rId224"/>
    <hyperlink xmlns:r="http://schemas.openxmlformats.org/officeDocument/2006/relationships" ref="K39" r:id="rId225"/>
    <hyperlink xmlns:r="http://schemas.openxmlformats.org/officeDocument/2006/relationships" ref="L39" r:id="rId226"/>
    <hyperlink xmlns:r="http://schemas.openxmlformats.org/officeDocument/2006/relationships" ref="M39" r:id="rId227"/>
    <hyperlink xmlns:r="http://schemas.openxmlformats.org/officeDocument/2006/relationships" ref="N39" r:id="rId228"/>
    <hyperlink xmlns:r="http://schemas.openxmlformats.org/officeDocument/2006/relationships" ref="I40" r:id="rId229"/>
    <hyperlink xmlns:r="http://schemas.openxmlformats.org/officeDocument/2006/relationships" ref="J40" r:id="rId230"/>
    <hyperlink xmlns:r="http://schemas.openxmlformats.org/officeDocument/2006/relationships" ref="K40" r:id="rId231"/>
    <hyperlink xmlns:r="http://schemas.openxmlformats.org/officeDocument/2006/relationships" ref="L40" r:id="rId232"/>
    <hyperlink xmlns:r="http://schemas.openxmlformats.org/officeDocument/2006/relationships" ref="M40" r:id="rId233"/>
    <hyperlink xmlns:r="http://schemas.openxmlformats.org/officeDocument/2006/relationships" ref="N40" r:id="rId234"/>
    <hyperlink xmlns:r="http://schemas.openxmlformats.org/officeDocument/2006/relationships" ref="I41" r:id="rId235"/>
    <hyperlink xmlns:r="http://schemas.openxmlformats.org/officeDocument/2006/relationships" ref="J41" r:id="rId236"/>
    <hyperlink xmlns:r="http://schemas.openxmlformats.org/officeDocument/2006/relationships" ref="K41" r:id="rId237"/>
    <hyperlink xmlns:r="http://schemas.openxmlformats.org/officeDocument/2006/relationships" ref="L41" r:id="rId238"/>
    <hyperlink xmlns:r="http://schemas.openxmlformats.org/officeDocument/2006/relationships" ref="M41" r:id="rId239"/>
    <hyperlink xmlns:r="http://schemas.openxmlformats.org/officeDocument/2006/relationships" ref="N41" r:id="rId240"/>
    <hyperlink xmlns:r="http://schemas.openxmlformats.org/officeDocument/2006/relationships" ref="I42" r:id="rId241"/>
    <hyperlink xmlns:r="http://schemas.openxmlformats.org/officeDocument/2006/relationships" ref="J42" r:id="rId242"/>
    <hyperlink xmlns:r="http://schemas.openxmlformats.org/officeDocument/2006/relationships" ref="K42" r:id="rId243"/>
    <hyperlink xmlns:r="http://schemas.openxmlformats.org/officeDocument/2006/relationships" ref="L42" r:id="rId244"/>
    <hyperlink xmlns:r="http://schemas.openxmlformats.org/officeDocument/2006/relationships" ref="M42" r:id="rId245"/>
    <hyperlink xmlns:r="http://schemas.openxmlformats.org/officeDocument/2006/relationships" ref="N42" r:id="rId246"/>
    <hyperlink xmlns:r="http://schemas.openxmlformats.org/officeDocument/2006/relationships" ref="I43" r:id="rId247"/>
    <hyperlink xmlns:r="http://schemas.openxmlformats.org/officeDocument/2006/relationships" ref="J43" r:id="rId248"/>
    <hyperlink xmlns:r="http://schemas.openxmlformats.org/officeDocument/2006/relationships" ref="K43" r:id="rId249"/>
    <hyperlink xmlns:r="http://schemas.openxmlformats.org/officeDocument/2006/relationships" ref="L43" r:id="rId250"/>
    <hyperlink xmlns:r="http://schemas.openxmlformats.org/officeDocument/2006/relationships" ref="M43" r:id="rId251"/>
    <hyperlink xmlns:r="http://schemas.openxmlformats.org/officeDocument/2006/relationships" ref="N43" r:id="rId252"/>
    <hyperlink xmlns:r="http://schemas.openxmlformats.org/officeDocument/2006/relationships" ref="I44" r:id="rId253"/>
    <hyperlink xmlns:r="http://schemas.openxmlformats.org/officeDocument/2006/relationships" ref="J44" r:id="rId254"/>
    <hyperlink xmlns:r="http://schemas.openxmlformats.org/officeDocument/2006/relationships" ref="K44" r:id="rId255"/>
    <hyperlink xmlns:r="http://schemas.openxmlformats.org/officeDocument/2006/relationships" ref="L44" r:id="rId256"/>
    <hyperlink xmlns:r="http://schemas.openxmlformats.org/officeDocument/2006/relationships" ref="M44" r:id="rId257"/>
    <hyperlink xmlns:r="http://schemas.openxmlformats.org/officeDocument/2006/relationships" ref="N44" r:id="rId258"/>
    <hyperlink xmlns:r="http://schemas.openxmlformats.org/officeDocument/2006/relationships" ref="I45" r:id="rId259"/>
    <hyperlink xmlns:r="http://schemas.openxmlformats.org/officeDocument/2006/relationships" ref="J45" r:id="rId260"/>
    <hyperlink xmlns:r="http://schemas.openxmlformats.org/officeDocument/2006/relationships" ref="K45" r:id="rId261"/>
    <hyperlink xmlns:r="http://schemas.openxmlformats.org/officeDocument/2006/relationships" ref="L45" r:id="rId262"/>
    <hyperlink xmlns:r="http://schemas.openxmlformats.org/officeDocument/2006/relationships" ref="M45" r:id="rId263"/>
    <hyperlink xmlns:r="http://schemas.openxmlformats.org/officeDocument/2006/relationships" ref="N45" r:id="rId264"/>
    <hyperlink xmlns:r="http://schemas.openxmlformats.org/officeDocument/2006/relationships" ref="I46" r:id="rId265"/>
    <hyperlink xmlns:r="http://schemas.openxmlformats.org/officeDocument/2006/relationships" ref="J46" r:id="rId266"/>
    <hyperlink xmlns:r="http://schemas.openxmlformats.org/officeDocument/2006/relationships" ref="K46" r:id="rId267"/>
    <hyperlink xmlns:r="http://schemas.openxmlformats.org/officeDocument/2006/relationships" ref="L46" r:id="rId268"/>
    <hyperlink xmlns:r="http://schemas.openxmlformats.org/officeDocument/2006/relationships" ref="M46" r:id="rId269"/>
    <hyperlink xmlns:r="http://schemas.openxmlformats.org/officeDocument/2006/relationships" ref="N46" r:id="rId270"/>
    <hyperlink xmlns:r="http://schemas.openxmlformats.org/officeDocument/2006/relationships" ref="I47" r:id="rId271"/>
    <hyperlink xmlns:r="http://schemas.openxmlformats.org/officeDocument/2006/relationships" ref="J47" r:id="rId272"/>
    <hyperlink xmlns:r="http://schemas.openxmlformats.org/officeDocument/2006/relationships" ref="K47" r:id="rId273"/>
    <hyperlink xmlns:r="http://schemas.openxmlformats.org/officeDocument/2006/relationships" ref="L47" r:id="rId274"/>
    <hyperlink xmlns:r="http://schemas.openxmlformats.org/officeDocument/2006/relationships" ref="M47" r:id="rId275"/>
    <hyperlink xmlns:r="http://schemas.openxmlformats.org/officeDocument/2006/relationships" ref="N47" r:id="rId276"/>
    <hyperlink xmlns:r="http://schemas.openxmlformats.org/officeDocument/2006/relationships" ref="I48" r:id="rId277"/>
    <hyperlink xmlns:r="http://schemas.openxmlformats.org/officeDocument/2006/relationships" ref="J48" r:id="rId278"/>
    <hyperlink xmlns:r="http://schemas.openxmlformats.org/officeDocument/2006/relationships" ref="K48" r:id="rId279"/>
    <hyperlink xmlns:r="http://schemas.openxmlformats.org/officeDocument/2006/relationships" ref="L48" r:id="rId280"/>
    <hyperlink xmlns:r="http://schemas.openxmlformats.org/officeDocument/2006/relationships" ref="M48" r:id="rId281"/>
    <hyperlink xmlns:r="http://schemas.openxmlformats.org/officeDocument/2006/relationships" ref="N48" r:id="rId282"/>
    <hyperlink xmlns:r="http://schemas.openxmlformats.org/officeDocument/2006/relationships" ref="I49" r:id="rId283"/>
    <hyperlink xmlns:r="http://schemas.openxmlformats.org/officeDocument/2006/relationships" ref="J49" r:id="rId284"/>
    <hyperlink xmlns:r="http://schemas.openxmlformats.org/officeDocument/2006/relationships" ref="K49" r:id="rId285"/>
    <hyperlink xmlns:r="http://schemas.openxmlformats.org/officeDocument/2006/relationships" ref="L49" r:id="rId286"/>
    <hyperlink xmlns:r="http://schemas.openxmlformats.org/officeDocument/2006/relationships" ref="M49" r:id="rId287"/>
    <hyperlink xmlns:r="http://schemas.openxmlformats.org/officeDocument/2006/relationships" ref="N49" r:id="rId288"/>
    <hyperlink xmlns:r="http://schemas.openxmlformats.org/officeDocument/2006/relationships" ref="I50" r:id="rId289"/>
    <hyperlink xmlns:r="http://schemas.openxmlformats.org/officeDocument/2006/relationships" ref="J50" r:id="rId290"/>
    <hyperlink xmlns:r="http://schemas.openxmlformats.org/officeDocument/2006/relationships" ref="K50" r:id="rId291"/>
    <hyperlink xmlns:r="http://schemas.openxmlformats.org/officeDocument/2006/relationships" ref="L50" r:id="rId292"/>
    <hyperlink xmlns:r="http://schemas.openxmlformats.org/officeDocument/2006/relationships" ref="M50" r:id="rId293"/>
    <hyperlink xmlns:r="http://schemas.openxmlformats.org/officeDocument/2006/relationships" ref="N50" r:id="rId294"/>
    <hyperlink xmlns:r="http://schemas.openxmlformats.org/officeDocument/2006/relationships" ref="I51" r:id="rId295"/>
    <hyperlink xmlns:r="http://schemas.openxmlformats.org/officeDocument/2006/relationships" ref="J51" r:id="rId296"/>
    <hyperlink xmlns:r="http://schemas.openxmlformats.org/officeDocument/2006/relationships" ref="K51" r:id="rId297"/>
    <hyperlink xmlns:r="http://schemas.openxmlformats.org/officeDocument/2006/relationships" ref="L51" r:id="rId298"/>
    <hyperlink xmlns:r="http://schemas.openxmlformats.org/officeDocument/2006/relationships" ref="M51" r:id="rId299"/>
    <hyperlink xmlns:r="http://schemas.openxmlformats.org/officeDocument/2006/relationships" ref="N51" r:id="rId3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ColWidth="8.6796875" defaultRowHeight="15"/>
  <cols>
    <col width="28" customWidth="1" style="355" min="1" max="1"/>
    <col width="110" customWidth="1" style="355" min="2" max="2"/>
  </cols>
  <sheetData>
    <row r="1" ht="49.5" customHeight="1" s="355">
      <c r="A1" s="342" t="inlineStr">
        <is>
          <t>Workbook purpose</t>
        </is>
      </c>
      <c r="B1" s="342" t="inlineStr">
        <is>
          <t>50-state auto insurance minimums, PIP / UM / UIM treatment, and bodily-injury vs property-damage statute of limitations.</t>
        </is>
      </c>
    </row>
    <row r="2" ht="49.5" customHeight="1" s="355">
      <c r="A2" s="340" t="inlineStr">
        <is>
          <t>Column grouping</t>
        </is>
      </c>
      <c r="B2" s="340" t="inlineStr">
        <is>
          <t>Columns after PD SOL are grouped and hidden by default. Use the + outline control above the column letters to expand source/audit/notes columns.</t>
        </is>
      </c>
    </row>
    <row r="3" ht="49.5" customHeight="1" s="355">
      <c r="A3" s="340" t="inlineStr">
        <is>
          <t>Source layout</t>
        </is>
      </c>
      <c r="B3" s="340" t="inlineStr">
        <is>
          <t>BI Source and PD Source are separate columns, even when they point to the same statute or regulator page, so each coverage amount has its own traceable citation.</t>
        </is>
      </c>
    </row>
    <row r="4" ht="49.5" customHeight="1" s="355">
      <c r="A4" s="340" t="inlineStr">
        <is>
          <t>Source standard</t>
        </is>
      </c>
      <c r="B4" s="340" t="inlineStr">
        <is>
          <t>Sources are intended to be official government, legislature, regulator, or official code-publication sources. Some official code portals may be hosted through state-designated publishing platforms.</t>
        </is>
      </c>
    </row>
    <row r="5" ht="49.5" customHeight="1" s="355">
      <c r="A5" s="340" t="inlineStr">
        <is>
          <t>Massachusetts audit note</t>
        </is>
      </c>
      <c r="B5" s="340" t="inlineStr">
        <is>
          <t>Massachusetts BI was updated to 25/50 based on Massachusetts government information showing increased mandatory minimums effective July 1, 2025. PD remains 5 based on Massachusetts DOI form-filing materials and should be statute-checked before legal filing.</t>
        </is>
      </c>
    </row>
    <row r="6" ht="49.5" customHeight="1" s="355">
      <c r="A6" s="340" t="inlineStr">
        <is>
          <t>Disclosure update</t>
        </is>
      </c>
      <c r="B6" s="340" t="inlineStr">
        <is>
          <t>Added columns R:AA for policy/declarations/coverage-disclosure research on 2026-06-02.</t>
        </is>
      </c>
    </row>
    <row r="7">
      <c r="A7" s="338" t="inlineStr">
        <is>
          <t>Disclosure source standard</t>
        </is>
      </c>
      <c r="B7" s="338" t="inlineStr">
        <is>
          <t>Disclosure rows use government sources only when a positive source was located. Rows marked Not located / verify are not legal conclusions; they mean no direct government source was located in this pass.</t>
        </is>
      </c>
    </row>
    <row r="8">
      <c r="A8" s="338" t="inlineStr">
        <is>
          <t>Map compatibility</t>
        </is>
      </c>
      <c r="B8" s="338" t="inlineStr">
        <is>
          <t>Updated map code reads these columns dynamically and displays a Policy / Declarations Disclosure section in each state panel.</t>
        </is>
      </c>
    </row>
    <row r="9">
      <c r="A9" s="338" t="inlineStr">
        <is>
          <t>Important advisory</t>
        </is>
      </c>
      <c r="B9" s="338" t="inlineStr">
        <is>
          <t>This workbook and map are for research/informational purposes only and are not legal advice. Verify with current official state sources before relying on any entry.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6" customWidth="1" style="355" min="1" max="1"/>
    <col width="18" customWidth="1" style="355" min="2" max="2"/>
    <col width="20" customWidth="1" style="355" min="3" max="3"/>
    <col width="18" customWidth="1" style="355" min="4" max="4"/>
    <col width="34" customWidth="1" style="355" min="5" max="5"/>
    <col width="34" customWidth="1" style="355" min="6" max="6"/>
    <col width="48" customWidth="1" style="355" min="7" max="7"/>
    <col width="60" customWidth="1" style="355" min="8" max="8"/>
  </cols>
  <sheetData>
    <row r="1" ht="24" customHeight="1" s="355">
      <c r="A1" s="357" t="inlineStr">
        <is>
          <t>State</t>
        </is>
      </c>
      <c r="B1" s="357" t="inlineStr">
        <is>
          <t>Disclosure Required</t>
        </is>
      </c>
      <c r="C1" s="357" t="inlineStr">
        <is>
          <t>Requestor</t>
        </is>
      </c>
      <c r="D1" s="357" t="inlineStr">
        <is>
          <t>Deadline</t>
        </is>
      </c>
      <c r="E1" s="357" t="inlineStr">
        <is>
          <t>Required Information</t>
        </is>
      </c>
      <c r="F1" s="357" t="inlineStr">
        <is>
          <t>Statute Citation</t>
        </is>
      </c>
      <c r="G1" s="357" t="inlineStr">
        <is>
          <t>Statute URL</t>
        </is>
      </c>
      <c r="H1" s="357" t="inlineStr">
        <is>
          <t>Notes</t>
        </is>
      </c>
    </row>
    <row r="2" ht="60" customHeight="1" s="355">
      <c r="A2" s="349" t="inlineStr">
        <is>
          <t>Alabama</t>
        </is>
      </c>
      <c r="B2" s="349" t="inlineStr">
        <is>
          <t>Litigation Only</t>
        </is>
      </c>
      <c r="C2" s="349" t="inlineStr">
        <is>
          <t>Party to Litigation</t>
        </is>
      </c>
      <c r="D2" s="349" t="inlineStr">
        <is>
          <t>Discovery Rules</t>
        </is>
      </c>
      <c r="E2" s="349" t="inlineStr">
        <is>
          <t>Insurance Agreements</t>
        </is>
      </c>
      <c r="F2" s="349" t="inlineStr">
        <is>
          <t>Ala. R. Civ. P. 26(b)(3)</t>
        </is>
      </c>
      <c r="G2" s="349" t="inlineStr">
        <is>
          <t>https://judicial.alabama.gov/docs/library/rules/CV26.pdf</t>
        </is>
      </c>
      <c r="H2" s="349" t="inlineStr">
        <is>
          <t>No identified statutory requirement for pre-suit disclosure of liability policy limits to third-party claimants. Insurance agreements are discoverable during litigation.</t>
        </is>
      </c>
    </row>
    <row r="3" ht="60" customHeight="1" s="355">
      <c r="A3" s="349" t="inlineStr">
        <is>
          <t>Alaska</t>
        </is>
      </c>
      <c r="B3" s="349" t="inlineStr">
        <is>
          <t>Litigation Only</t>
        </is>
      </c>
      <c r="C3" s="349" t="inlineStr">
        <is>
          <t>Party to Litigation</t>
        </is>
      </c>
      <c r="D3" s="349" t="inlineStr">
        <is>
          <t>Discovery Rules</t>
        </is>
      </c>
      <c r="E3" s="349" t="inlineStr">
        <is>
          <t>Insurance Agreements</t>
        </is>
      </c>
      <c r="F3" s="349" t="inlineStr">
        <is>
          <t>Alaska R. Civ. P. 26(a)(1)(F)</t>
        </is>
      </c>
      <c r="G3" s="349" t="inlineStr">
        <is>
          <t>https://courts.alaska.gov/rules/docs/civ.pdf</t>
        </is>
      </c>
      <c r="H3" s="349" t="inlineStr">
        <is>
          <t>No identified statutory requirement for pre-suit disclosure of liability policy limits to third-party claimants. Insurance agreements are disclosed in litigation.</t>
        </is>
      </c>
    </row>
    <row r="4" ht="60" customHeight="1" s="355">
      <c r="A4" s="349" t="inlineStr">
        <is>
          <t>Arizona</t>
        </is>
      </c>
      <c r="B4" s="349" t="inlineStr">
        <is>
          <t>Litigation Only</t>
        </is>
      </c>
      <c r="C4" s="349" t="inlineStr">
        <is>
          <t>Party to Litigation</t>
        </is>
      </c>
      <c r="D4" s="349" t="inlineStr">
        <is>
          <t>Discovery Rules</t>
        </is>
      </c>
      <c r="E4" s="349" t="inlineStr">
        <is>
          <t>Insurance Agreements</t>
        </is>
      </c>
      <c r="F4" s="349" t="inlineStr">
        <is>
          <t>Ariz. R. Civ. P. 26.1(a)(10)</t>
        </is>
      </c>
      <c r="G4" s="349" t="inlineStr">
        <is>
          <t>https://www.azcourts.gov/rules/Arizona-Rules-of-Civil-Procedure</t>
        </is>
      </c>
      <c r="H4" s="349" t="inlineStr">
        <is>
          <t>No identified statutory requirement for pre-suit disclosure of liability policy limits to third-party claimants. Insurance agreements are disclosed in litigation.</t>
        </is>
      </c>
    </row>
    <row r="5" ht="60" customHeight="1" s="355">
      <c r="A5" s="349" t="inlineStr">
        <is>
          <t>Arkansas</t>
        </is>
      </c>
      <c r="B5" s="349" t="inlineStr">
        <is>
          <t>Litigation Only</t>
        </is>
      </c>
      <c r="C5" s="349" t="inlineStr">
        <is>
          <t>Party to Litigation</t>
        </is>
      </c>
      <c r="D5" s="349" t="inlineStr">
        <is>
          <t>Discovery Rules</t>
        </is>
      </c>
      <c r="E5" s="349" t="inlineStr">
        <is>
          <t>Insurance Agreements</t>
        </is>
      </c>
      <c r="F5" s="349" t="inlineStr">
        <is>
          <t>Ark. R. Civ. P. 26(b)(2)</t>
        </is>
      </c>
      <c r="G5" s="349" t="inlineStr">
        <is>
          <t>https://www.arcourts.gov/rules-and-administrative-orders/court-rules/rule-26-general-provisions-governing-discovery</t>
        </is>
      </c>
      <c r="H5" s="349" t="inlineStr">
        <is>
          <t>No identified statutory requirement for pre-suit disclosure of liability policy limits to third-party claimants. Insurance agreements are discoverable during litigation.</t>
        </is>
      </c>
    </row>
    <row r="6" ht="60" customHeight="1" s="355">
      <c r="A6" s="349" t="inlineStr">
        <is>
          <t>California</t>
        </is>
      </c>
      <c r="B6" s="349" t="inlineStr">
        <is>
          <t>Litigation Only</t>
        </is>
      </c>
      <c r="C6" s="349" t="inlineStr">
        <is>
          <t>Party to Litigation</t>
        </is>
      </c>
      <c r="D6" s="349" t="inlineStr">
        <is>
          <t>Discovery Rules</t>
        </is>
      </c>
      <c r="E6" s="349" t="inlineStr">
        <is>
          <t>Insurance Agreements</t>
        </is>
      </c>
      <c r="F6" s="349" t="inlineStr">
        <is>
          <t>Cal. Code Civ. Proc. § 2017.210</t>
        </is>
      </c>
      <c r="G6" s="349" t="inlineStr">
        <is>
          <t>https://leginfo.legislature.ca.gov/faces/codes_displaySection.xhtml?sectionNum=2017.210&amp;lawCode=CCP</t>
        </is>
      </c>
      <c r="H6" s="349" t="inlineStr">
        <is>
          <t>Allows discovery of insurance agreements after litigation begins; no broad pre-suit claimant policy-limits disclosure requirement was identified.</t>
        </is>
      </c>
    </row>
    <row r="7" ht="60" customHeight="1" s="355">
      <c r="A7" s="349" t="inlineStr">
        <is>
          <t>Colorado</t>
        </is>
      </c>
      <c r="B7" s="349" t="inlineStr">
        <is>
          <t>Yes</t>
        </is>
      </c>
      <c r="C7" s="349" t="inlineStr">
        <is>
          <t>Claimant</t>
        </is>
      </c>
      <c r="D7" s="349" t="inlineStr">
        <is>
          <t>30 Days</t>
        </is>
      </c>
      <c r="E7" s="349" t="inlineStr">
        <is>
          <t>BI Limits; PD Limits; Umbrella Coverage; Excess Coverage; Named Insured Information; Policy Copy</t>
        </is>
      </c>
      <c r="F7" s="349" t="inlineStr">
        <is>
          <t>Colo. Rev. Stat. § 10-3-1117</t>
        </is>
      </c>
      <c r="G7" s="349" t="inlineStr">
        <is>
          <t>https://leg.colorado.gov/laws/session-laws/4271/download</t>
        </is>
      </c>
      <c r="H7" s="349" t="inlineStr">
        <is>
          <t>Insurer must provide specified auto liability coverage information within 30 days after written request from a claimant or claimant attorney. Includes known excess or umbrella insurance relevant to the claim.</t>
        </is>
      </c>
    </row>
    <row r="8" ht="60" customHeight="1" s="355">
      <c r="A8" s="349" t="inlineStr">
        <is>
          <t>Connecticut</t>
        </is>
      </c>
      <c r="B8" s="349" t="inlineStr">
        <is>
          <t>Yes</t>
        </is>
      </c>
      <c r="C8" s="349" t="inlineStr">
        <is>
          <t>Claimant or representative; plaintiff in litigation</t>
        </is>
      </c>
      <c r="D8" s="349" t="inlineStr">
        <is>
          <t>30 days for motor-vehicle BI/death request; litigation discovery by motion</t>
        </is>
      </c>
      <c r="E8" s="349" t="inlineStr">
        <is>
          <t>Auto liability policy limits; in negligence litigation, policy limits and indemnity disclaimer status</t>
        </is>
      </c>
      <c r="F8" s="349" t="inlineStr">
        <is>
          <t>Conn. Gen. Stat. §§ 38a-335a; 52-200a</t>
        </is>
      </c>
      <c r="G8" s="349" t="inlineStr">
        <is>
          <t>https://www.cga.ct.gov/current/pub/chap_700.htm#sec_38a-335a</t>
        </is>
      </c>
      <c r="H8" s="349" t="inlineStr">
        <is>
          <t>Pre-suit disclosure appears limited to bodily injury/death claims from motor vehicle collisions; broader negligence insurance information is discoverable in litigation by written motion.</t>
        </is>
      </c>
    </row>
    <row r="9" ht="60" customHeight="1" s="355">
      <c r="A9" s="349" t="inlineStr">
        <is>
          <t>Delaware</t>
        </is>
      </c>
      <c r="B9" s="349" t="inlineStr">
        <is>
          <t>Conditional</t>
        </is>
      </c>
      <c r="C9" s="349" t="inlineStr">
        <is>
          <t>Injured person or representative</t>
        </is>
      </c>
      <c r="D9" s="349" t="inlineStr">
        <is>
          <t>30 days after qualifying request</t>
        </is>
      </c>
      <c r="E9" s="349" t="inlineStr">
        <is>
          <t>BI liability limits for motor vehicle policies</t>
        </is>
      </c>
      <c r="F9" s="349" t="inlineStr">
        <is>
          <t>21 Del. C. § 2907(d)</t>
        </is>
      </c>
      <c r="G9" s="349" t="inlineStr">
        <is>
          <t>https://delcode.delaware.gov/title21/c029/sc01/index.html#2907</t>
        </is>
      </c>
      <c r="H9" s="349" t="inlineStr">
        <is>
          <t>Disclosure applies when submitted medical bills and wage losses meet the statutory threshold; scope is bodily injury limits at the time of the accident.</t>
        </is>
      </c>
    </row>
    <row r="10" ht="60" customHeight="1" s="355">
      <c r="A10" s="349" t="inlineStr">
        <is>
          <t>Florida</t>
        </is>
      </c>
      <c r="B10" s="349" t="inlineStr">
        <is>
          <t>Yes</t>
        </is>
      </c>
      <c r="C10" s="349" t="inlineStr">
        <is>
          <t>Claimant</t>
        </is>
      </c>
      <c r="D10" s="349" t="inlineStr">
        <is>
          <t>60 Days</t>
        </is>
      </c>
      <c r="E10" s="349" t="inlineStr">
        <is>
          <t>BI Limits; PD Limits; Umbrella Coverage; Excess Coverage; Named Insured Information; Declarations Page</t>
        </is>
      </c>
      <c r="F10" s="349" t="inlineStr">
        <is>
          <t>Fla. Stat. § 627.4137</t>
        </is>
      </c>
      <c r="G10" s="349" t="inlineStr">
        <is>
          <t>https://www.leg.state.fl.us/Statutes/index.cfm?App_mode=Display_Statute&amp;URL=0600-0699/0627/Sections/0627.4137.html</t>
        </is>
      </c>
      <c r="H10" s="349" t="inlineStr">
        <is>
          <t>Insurer must provide, within 60 days after written claimant request, sworn coverage information for known liability or casualty policies, including excess or umbrella insurance. The insured has a separate 30-day disclosure duty.</t>
        </is>
      </c>
    </row>
    <row r="11" ht="60" customHeight="1" s="355">
      <c r="A11" s="349" t="inlineStr">
        <is>
          <t>Georgia</t>
        </is>
      </c>
      <c r="B11" s="349" t="inlineStr">
        <is>
          <t>Yes</t>
        </is>
      </c>
      <c r="C11" s="349" t="inlineStr">
        <is>
          <t>Claimant or claimant attorney</t>
        </is>
      </c>
      <c r="D11" s="349" t="inlineStr">
        <is>
          <t>30 days</t>
        </is>
      </c>
      <c r="E11" s="349" t="inlineStr">
        <is>
          <t>Insurer name, each insured, and limits of coverage</t>
        </is>
      </c>
      <c r="F11" s="349" t="inlineStr">
        <is>
          <t>O.C.G.A. § 33-3-28</t>
        </is>
      </c>
      <c r="G11" s="349" t="inlineStr">
        <is>
          <t>https://law.justia.com/codes/georgia/title-33/chapter-3/section-33-3-28/</t>
        </is>
      </c>
      <c r="H11" s="349" t="inlineStr">
        <is>
          <t>Requires the insured or insurer to disclose listed coverage information after a written request; official Georgia Code access may require a licensed code platform.</t>
        </is>
      </c>
    </row>
    <row r="12" ht="60" customHeight="1" s="355">
      <c r="A12" s="349" t="inlineStr">
        <is>
          <t>Hawaii</t>
        </is>
      </c>
      <c r="B12" s="349" t="inlineStr">
        <is>
          <t>Litigation Only</t>
        </is>
      </c>
      <c r="C12" s="349" t="inlineStr">
        <is>
          <t>Party to Litigation</t>
        </is>
      </c>
      <c r="D12" s="349" t="inlineStr">
        <is>
          <t>Discovery Rules</t>
        </is>
      </c>
      <c r="E12" s="349" t="inlineStr">
        <is>
          <t>Insurance Agreements</t>
        </is>
      </c>
      <c r="F12" s="349" t="inlineStr">
        <is>
          <t>Haw. R. Civ. P. 26(b)(3)</t>
        </is>
      </c>
      <c r="G12" s="349" t="inlineStr">
        <is>
          <t>https://www.courts.state.hi.us/wp-content/uploads/2024/09/hrcp_ada.pdf</t>
        </is>
      </c>
      <c r="H12" s="349" t="inlineStr">
        <is>
          <t>No identified statutory requirement for pre-suit disclosure of liability policy limits to third-party claimants. Insurance agreements are discoverable during litigation.</t>
        </is>
      </c>
    </row>
    <row r="13" ht="60" customHeight="1" s="355">
      <c r="A13" s="349" t="inlineStr">
        <is>
          <t>Idaho</t>
        </is>
      </c>
      <c r="B13" s="349" t="inlineStr">
        <is>
          <t>Litigation Only</t>
        </is>
      </c>
      <c r="C13" s="349" t="inlineStr">
        <is>
          <t>Party to Litigation</t>
        </is>
      </c>
      <c r="D13" s="349" t="inlineStr">
        <is>
          <t>Discovery Rules</t>
        </is>
      </c>
      <c r="E13" s="349" t="inlineStr">
        <is>
          <t>Insurance agreements that may satisfy or indemnify against a judgment</t>
        </is>
      </c>
      <c r="F13" s="349" t="inlineStr">
        <is>
          <t>Idaho R. Civ. P. 26(b)(2)</t>
        </is>
      </c>
      <c r="G13" s="349" t="inlineStr">
        <is>
          <t>https://isc.idaho.gov/rules-procedure/ircp</t>
        </is>
      </c>
      <c r="H13" s="349" t="inlineStr">
        <is>
          <t>No Idaho pre-suit third-party policy-limits disclosure statute was confirmed. Insurance agreements are discoverable after litigation begins under Idaho Rule of Civil Procedure 26(b)(2).</t>
        </is>
      </c>
    </row>
    <row r="14" ht="60" customHeight="1" s="355">
      <c r="A14" s="349" t="inlineStr">
        <is>
          <t>Illinois</t>
        </is>
      </c>
      <c r="B14" s="349" t="inlineStr">
        <is>
          <t>Conditional</t>
        </is>
      </c>
      <c r="C14" s="349" t="inlineStr">
        <is>
          <t>Claimant or claimant attorney</t>
        </is>
      </c>
      <c r="D14" s="349" t="inlineStr">
        <is>
          <t>30 days</t>
        </is>
      </c>
      <c r="E14" s="349" t="inlineStr">
        <is>
          <t>Private passenger automobile liability limits; disclosure is tied to statutory request requirements and proof of injury</t>
        </is>
      </c>
      <c r="F14" s="349" t="inlineStr">
        <is>
          <t>215 ILCS 5/143.24b</t>
        </is>
      </c>
      <c r="G14" s="349" t="inlineStr">
        <is>
          <t>https://ilga.gov/documents/legislation/ilcs/documents/021500050K143.24b.htm</t>
        </is>
      </c>
      <c r="H14" s="349" t="inlineStr">
        <is>
          <t>Insurer must disclose personal private passenger auto liability coverage limits after receiving the required certified written request and supporting injury information. Umbrella coverage is not included under this statute.</t>
        </is>
      </c>
    </row>
    <row r="15" ht="60" customHeight="1" s="355">
      <c r="A15" s="349" t="inlineStr">
        <is>
          <t>Indiana</t>
        </is>
      </c>
      <c r="B15" s="349" t="inlineStr">
        <is>
          <t>Litigation Only</t>
        </is>
      </c>
      <c r="C15" s="349" t="inlineStr">
        <is>
          <t>Party to Litigation</t>
        </is>
      </c>
      <c r="D15" s="349" t="inlineStr">
        <is>
          <t>Discovery Rules</t>
        </is>
      </c>
      <c r="E15" s="349" t="inlineStr">
        <is>
          <t>Insurance agreements that may satisfy or indemnify against a judgment</t>
        </is>
      </c>
      <c r="F15" s="349" t="inlineStr">
        <is>
          <t>Ind. R. Trial P. 26(B)(2)</t>
        </is>
      </c>
      <c r="G15" s="349" t="inlineStr">
        <is>
          <t>https://rules.incourts.gov/Content/trial/rule26/current.htm</t>
        </is>
      </c>
      <c r="H15" s="349" t="inlineStr">
        <is>
          <t>No Indiana pre-suit third-party policy-limits disclosure statute was confirmed. Insurance agreements are discoverable after litigation begins under Trial Rule 26(B)(2).</t>
        </is>
      </c>
    </row>
    <row r="16" ht="60" customHeight="1" s="355">
      <c r="A16" s="349" t="inlineStr">
        <is>
          <t>Iowa</t>
        </is>
      </c>
      <c r="B16" s="349" t="inlineStr">
        <is>
          <t>Litigation Only</t>
        </is>
      </c>
      <c r="C16" s="349" t="inlineStr">
        <is>
          <t>Party to Litigation</t>
        </is>
      </c>
      <c r="D16" s="349" t="inlineStr">
        <is>
          <t>Initial disclosure / discovery after suit</t>
        </is>
      </c>
      <c r="E16" s="349" t="inlineStr">
        <is>
          <t>Insurance agreements that may satisfy, indemnify, or reimburse for a judgment</t>
        </is>
      </c>
      <c r="F16" s="349" t="inlineStr">
        <is>
          <t>Iowa R. Civ. P. 1.500(1)(a)(4); 1.503(2)</t>
        </is>
      </c>
      <c r="G16" s="349" t="inlineStr">
        <is>
          <t>https://www.legis.iowa.gov/docs/ACO/CourtRulesChapter/1.pdf</t>
        </is>
      </c>
      <c r="H16" s="349" t="inlineStr">
        <is>
          <t>No Iowa pre-suit third-party policy-limits disclosure statute was confirmed. Iowa litigation rules require insurance information in initial disclosures and allow additional discovery of insurance agreements.</t>
        </is>
      </c>
    </row>
    <row r="17" ht="60" customHeight="1" s="355">
      <c r="A17" s="349" t="inlineStr">
        <is>
          <t>Kansas</t>
        </is>
      </c>
      <c r="B17" s="349" t="inlineStr">
        <is>
          <t>Litigation Only</t>
        </is>
      </c>
      <c r="C17" s="349" t="inlineStr">
        <is>
          <t>Party to Litigation</t>
        </is>
      </c>
      <c r="D17" s="349" t="inlineStr">
        <is>
          <t>Discovery Rules</t>
        </is>
      </c>
      <c r="E17" s="349" t="inlineStr">
        <is>
          <t>Insurance Agreements</t>
        </is>
      </c>
      <c r="F17" s="349" t="inlineStr">
        <is>
          <t>K.S.A. 60-226(b)(3)(A)</t>
        </is>
      </c>
      <c r="G17" s="349" t="inlineStr">
        <is>
          <t>https://ksrevisor.gov/statutes/chapters/ch60/060_002_0026.html</t>
        </is>
      </c>
      <c r="H17" s="349" t="inlineStr">
        <is>
          <t>No identified statutory requirement for pre-suit disclosure of liability policy limits to third-party claimants. Insurance agreements are discoverable during litigation.</t>
        </is>
      </c>
    </row>
    <row r="18" ht="60" customHeight="1" s="355">
      <c r="A18" s="349" t="inlineStr">
        <is>
          <t>Kentucky</t>
        </is>
      </c>
      <c r="B18" s="349" t="inlineStr">
        <is>
          <t>Litigation Only</t>
        </is>
      </c>
      <c r="C18" s="349" t="inlineStr">
        <is>
          <t>Party to Litigation</t>
        </is>
      </c>
      <c r="D18" s="349" t="inlineStr">
        <is>
          <t>Discovery Rules</t>
        </is>
      </c>
      <c r="E18" s="349" t="inlineStr">
        <is>
          <t>Insurance agreements that may satisfy or indemnify against a judgment</t>
        </is>
      </c>
      <c r="F18" s="349" t="inlineStr">
        <is>
          <t>Ky. R. Civ. P. 26.02(2)</t>
        </is>
      </c>
      <c r="G18" s="349" t="inlineStr">
        <is>
          <t>https://govt.westlaw.com/kyrules/Document/N85A3DA10A91B11DA8F5EE32367A250AE</t>
        </is>
      </c>
      <c r="H18" s="349" t="inlineStr">
        <is>
          <t>No Kentucky pre-suit third-party policy-limits disclosure statute was confirmed. Insurance agreements are discoverable after litigation begins under CR 26.02(2).</t>
        </is>
      </c>
    </row>
    <row r="19" ht="60" customHeight="1" s="355">
      <c r="A19" s="349" t="inlineStr">
        <is>
          <t>Louisiana</t>
        </is>
      </c>
      <c r="B19" s="349" t="inlineStr">
        <is>
          <t>Litigation Only</t>
        </is>
      </c>
      <c r="C19" s="349" t="inlineStr">
        <is>
          <t>Party to Litigation</t>
        </is>
      </c>
      <c r="D19" s="349" t="inlineStr">
        <is>
          <t>Discovery Rules</t>
        </is>
      </c>
      <c r="E19" s="349" t="inlineStr">
        <is>
          <t>Insurance Agreements</t>
        </is>
      </c>
      <c r="F19" s="349" t="inlineStr">
        <is>
          <t>La. C.C.P. art. 1423</t>
        </is>
      </c>
      <c r="G19" s="349" t="inlineStr">
        <is>
          <t>https://www.legis.la.gov/legis/Laws_Toc.aspx?folder=68&amp;level=Parent</t>
        </is>
      </c>
      <c r="H19" s="349" t="inlineStr">
        <is>
          <t>No identified statutory requirement for pre-suit disclosure of liability policy limits to third-party claimants. Insurance agreements are discoverable during litigation.</t>
        </is>
      </c>
    </row>
    <row r="20" ht="60" customHeight="1" s="355">
      <c r="A20" s="349" t="inlineStr">
        <is>
          <t>Maine</t>
        </is>
      </c>
      <c r="B20" s="349" t="inlineStr">
        <is>
          <t>Yes</t>
        </is>
      </c>
      <c r="C20" s="349" t="inlineStr">
        <is>
          <t>Claimant or claimant attorney</t>
        </is>
      </c>
      <c r="D20" s="349" t="inlineStr">
        <is>
          <t>60 days</t>
        </is>
      </c>
      <c r="E20" s="349" t="inlineStr">
        <is>
          <t>Liability coverage limits</t>
        </is>
      </c>
      <c r="F20" s="349" t="inlineStr">
        <is>
          <t>24-A M.R.S. § 2164-E</t>
        </is>
      </c>
      <c r="G20" s="349" t="inlineStr">
        <is>
          <t>https://legislature.maine.gov/statutes/24-a/title24-Asec2164-E.html</t>
        </is>
      </c>
      <c r="H20" s="349" t="inlineStr">
        <is>
          <t>Requires an insurer doing business in Maine to disclose the insured's liability coverage limits after written request; noncompliance may trigger a $500 penalty plus fees and expenses.</t>
        </is>
      </c>
    </row>
    <row r="21" ht="60" customHeight="1" s="355">
      <c r="A21" s="349" t="inlineStr">
        <is>
          <t>Maryland</t>
        </is>
      </c>
      <c r="B21" s="349" t="inlineStr">
        <is>
          <t>Conditional</t>
        </is>
      </c>
      <c r="C21" s="349" t="inlineStr">
        <is>
          <t>Claimant attorney</t>
        </is>
      </c>
      <c r="D21" s="349" t="inlineStr">
        <is>
          <t>30 days after complete statutory request</t>
        </is>
      </c>
      <c r="E21" s="349" t="inlineStr">
        <is>
          <t>Applicable insurance coverage limits for qualifying injury, wrongful death, survival, motor vehicle, homeowners, or renters claims</t>
        </is>
      </c>
      <c r="F21" s="349" t="inlineStr">
        <is>
          <t>Md. Code Ann., Cts. &amp; Jud. Proc. §§ 10-1101 to 10-1104</t>
        </is>
      </c>
      <c r="G21" s="349" t="inlineStr">
        <is>
          <t>https://mgaleg.maryland.gov/mgawebsite/Laws/StatuteText?article=gcj&amp;section=10-1103</t>
        </is>
      </c>
      <c r="H21" s="349" t="inlineStr">
        <is>
          <t>Pre-litigation procedure requires specified claim details and Maryland attorney certification that the claim was investigated and is not frivolous.</t>
        </is>
      </c>
    </row>
    <row r="22" ht="60" customHeight="1" s="355">
      <c r="A22" s="349" t="inlineStr">
        <is>
          <t>Massachusetts</t>
        </is>
      </c>
      <c r="B22" s="349" t="inlineStr">
        <is>
          <t>Yes</t>
        </is>
      </c>
      <c r="C22" s="349" t="inlineStr">
        <is>
          <t>Injured party or injured party attorney</t>
        </is>
      </c>
      <c r="D22" s="349" t="inlineStr">
        <is>
          <t>30 days</t>
        </is>
      </c>
      <c r="E22" s="349" t="inlineStr">
        <is>
          <t>Amount of insured's liability coverage limits</t>
        </is>
      </c>
      <c r="F22" s="349" t="inlineStr">
        <is>
          <t>Mass. Gen. Laws ch. 175, § 112C</t>
        </is>
      </c>
      <c r="G22" s="349" t="inlineStr">
        <is>
          <t>https://malegislature.gov/Laws/GeneralLaws/PartI/TitleXXII/Chapter175/Section112c</t>
        </is>
      </c>
      <c r="H22" s="349" t="inlineStr">
        <is>
          <t>Any insurer doing business in Massachusetts must reveal liability limits on written request. Failure may expose insurer to statutory penalty, attorney fees, and expenses.</t>
        </is>
      </c>
    </row>
    <row r="23" ht="60" customHeight="1" s="355">
      <c r="A23" s="349" t="inlineStr">
        <is>
          <t>Michigan</t>
        </is>
      </c>
      <c r="B23" s="349" t="inlineStr">
        <is>
          <t>Litigation Only</t>
        </is>
      </c>
      <c r="C23" s="349" t="inlineStr">
        <is>
          <t>Party to Litigation</t>
        </is>
      </c>
      <c r="D23" s="349" t="inlineStr">
        <is>
          <t>Discovery Rules</t>
        </is>
      </c>
      <c r="E23" s="349" t="inlineStr">
        <is>
          <t>Insurance Agreements</t>
        </is>
      </c>
      <c r="F23" s="349" t="inlineStr">
        <is>
          <t>MCR 2.302</t>
        </is>
      </c>
      <c r="G23" s="349" t="inlineStr">
        <is>
          <t>https://www.courts.michigan.gov/siteassets/rules-instructions-administrative-orders/michigan-court-rules/court-rules-book-ch-2-responsive-html5.zip/index.html</t>
        </is>
      </c>
      <c r="H23" s="349" t="inlineStr">
        <is>
          <t>No identified statutory requirement for pre-suit disclosure of liability policy limits to third-party claimants. Insurance agreements are discoverable during litigation.</t>
        </is>
      </c>
    </row>
    <row r="24" ht="60" customHeight="1" s="355">
      <c r="A24" s="349" t="inlineStr">
        <is>
          <t>Minnesota</t>
        </is>
      </c>
      <c r="B24" s="349" t="inlineStr">
        <is>
          <t>Yes</t>
        </is>
      </c>
      <c r="C24" s="349" t="inlineStr">
        <is>
          <t>Claimant</t>
        </is>
      </c>
      <c r="D24" s="349" t="inlineStr">
        <is>
          <t>30 Days</t>
        </is>
      </c>
      <c r="E24" s="349" t="inlineStr">
        <is>
          <t>BI Limits; PD Limits</t>
        </is>
      </c>
      <c r="F24" s="349" t="inlineStr">
        <is>
          <t>Minn. Stat. § 72A.201 Subd. 11</t>
        </is>
      </c>
      <c r="G24" s="349" t="inlineStr">
        <is>
          <t>https://www.revisor.mn.gov/statutes/cite/72A.201</t>
        </is>
      </c>
      <c r="H24" s="349" t="inlineStr">
        <is>
          <t>Insurer must disclose applicable coverage and limits within 30 days after written request.</t>
        </is>
      </c>
    </row>
    <row r="25" ht="60" customHeight="1" s="355">
      <c r="A25" s="349" t="inlineStr">
        <is>
          <t>Mississippi</t>
        </is>
      </c>
      <c r="B25" s="349" t="inlineStr">
        <is>
          <t>Litigation Only</t>
        </is>
      </c>
      <c r="C25" s="349" t="inlineStr">
        <is>
          <t>Party to Litigation</t>
        </is>
      </c>
      <c r="D25" s="349" t="inlineStr">
        <is>
          <t>Discovery Rules</t>
        </is>
      </c>
      <c r="E25" s="349" t="inlineStr">
        <is>
          <t>Insurance Agreements</t>
        </is>
      </c>
      <c r="F25" s="349" t="inlineStr">
        <is>
          <t>Miss. R. Civ. P. 26(b)(2)</t>
        </is>
      </c>
      <c r="G25" s="349" t="inlineStr">
        <is>
          <t>https://courts.ms.gov/research/rules/msrulesofcourt/Rules_of_Civil_Procedure.pdf</t>
        </is>
      </c>
      <c r="H25" s="349" t="inlineStr">
        <is>
          <t>No identified statutory requirement for pre-suit disclosure of liability policy limits to third-party claimants. Insurance agreements are discoverable during litigation.</t>
        </is>
      </c>
    </row>
    <row r="26" ht="60" customHeight="1" s="355">
      <c r="A26" s="349" t="inlineStr">
        <is>
          <t>Missouri</t>
        </is>
      </c>
      <c r="B26" s="349" t="inlineStr">
        <is>
          <t>Conditional</t>
        </is>
      </c>
      <c r="C26" s="349" t="inlineStr">
        <is>
          <t>Claimant or claimant representative</t>
        </is>
      </c>
      <c r="D26" s="349" t="inlineStr">
        <is>
          <t>Demand must remain open at least 90 days</t>
        </is>
      </c>
      <c r="E26" s="349" t="inlineStr">
        <is>
          <t>Time-limited demand may request applicable policy limits; settlement-demand material terms and supporting records</t>
        </is>
      </c>
      <c r="F26" s="349" t="inlineStr">
        <is>
          <t>Mo. Rev. Stat. § 537.058</t>
        </is>
      </c>
      <c r="G26" s="349" t="inlineStr">
        <is>
          <t>https://revisor.mo.gov/main/OneSection.aspx?section=537.058</t>
        </is>
      </c>
      <c r="H26" s="349" t="inlineStr">
        <is>
          <t>Missouri does not appear to provide a simple standalone pre-suit policy-limits disclosure statute. Section 537.058 creates a time-limited demand procedure for injury, bodily injury, or wrongful death claims and allows the demand to request applicable policy limits.</t>
        </is>
      </c>
    </row>
    <row r="27" ht="60" customHeight="1" s="355">
      <c r="A27" s="349" t="inlineStr">
        <is>
          <t>Montana</t>
        </is>
      </c>
      <c r="B27" s="349" t="inlineStr">
        <is>
          <t>Litigation Only</t>
        </is>
      </c>
      <c r="C27" s="349" t="inlineStr">
        <is>
          <t>Party to Litigation</t>
        </is>
      </c>
      <c r="D27" s="349" t="inlineStr">
        <is>
          <t>Discovery Rules; special time-limited demands must remain open at least 60 days</t>
        </is>
      </c>
      <c r="E27" s="349" t="inlineStr">
        <is>
          <t>Insurance agreements discoverable after suit; time-limited demand procedure governs settlement demands but does not create broad pre-suit disclosure duty</t>
        </is>
      </c>
      <c r="F27" s="349" t="inlineStr">
        <is>
          <t>Mont. R. Civ. P. 26(b)(5); Mont. Code Ann. § 33-18-251; Wilkie v. Hartford Underwriters Ins. Co., 2021 MT 221</t>
        </is>
      </c>
      <c r="G27" s="349" t="inlineStr">
        <is>
          <t>https://juddocumentservice.mt.gov/getDocByCTrackId?DocId=349851</t>
        </is>
      </c>
      <c r="H27" s="349" t="inlineStr">
        <is>
          <t>Montana Supreme Court stated that neither the UTPA nor other statutory schemes require insurers to disclose policy documents, limits, or coverage information to third-party claimants before litigation. Montana also has a special time-limited demand statute with separate procedural requirements.</t>
        </is>
      </c>
    </row>
    <row r="28" ht="60" customHeight="1" s="355">
      <c r="A28" s="349" t="inlineStr">
        <is>
          <t>Nebraska</t>
        </is>
      </c>
      <c r="B28" s="349" t="inlineStr">
        <is>
          <t>Litigation Only</t>
        </is>
      </c>
      <c r="C28" s="349" t="inlineStr">
        <is>
          <t>Party to Litigation</t>
        </is>
      </c>
      <c r="D28" s="349" t="inlineStr">
        <is>
          <t>Discovery Rules</t>
        </is>
      </c>
      <c r="E28" s="349" t="inlineStr">
        <is>
          <t>Existence and contents of insurance agreements; whether coverage is disputed may be obtained by interrogatory</t>
        </is>
      </c>
      <c r="F28" s="349" t="inlineStr">
        <is>
          <t>Neb. Ct. R. Disc. § 6-326(b)(2)</t>
        </is>
      </c>
      <c r="G28" s="349" t="inlineStr">
        <is>
          <t>https://nebraskajudicial.gov/supreme-court-rules/chapter-6-trial-courts/article-3-nebraska-court-rules-discovery-civil-cases-effective-january-1-2025/%C2%A7-6-326-general-provisions-governing-discovery</t>
        </is>
      </c>
      <c r="H28" s="349" t="inlineStr">
        <is>
          <t>No Nebraska pre-suit policy-limits disclosure statute was confirmed. Nebraska discovery rules allow a party in litigation to obtain insurance agreements and ask whether coverage is disputed.</t>
        </is>
      </c>
    </row>
    <row r="29" ht="60" customHeight="1" s="355">
      <c r="A29" s="349" t="inlineStr">
        <is>
          <t>Nevada</t>
        </is>
      </c>
      <c r="B29" s="349" t="inlineStr">
        <is>
          <t>Limited</t>
        </is>
      </c>
      <c r="C29" s="349" t="inlineStr">
        <is>
          <t>Claimant</t>
        </is>
      </c>
      <c r="D29" s="349" t="inlineStr">
        <is>
          <t>5 Business Days</t>
        </is>
      </c>
      <c r="E29" s="349" t="inlineStr">
        <is>
          <t>Declarations Page; Named Insured Information; BI Limits; PD Limits</t>
        </is>
      </c>
      <c r="F29" s="349" t="inlineStr">
        <is>
          <t>NRS 690B.024</t>
        </is>
      </c>
      <c r="G29" s="349" t="inlineStr">
        <is>
          <t>https://www.leg.state.nv.us/nrs/nrs-690b.html</t>
        </is>
      </c>
      <c r="H29" s="349" t="inlineStr">
        <is>
          <t>Disclosure requires written authorization and is narrower than Florida-style disclosure statutes. Insurer must provide the declarations page within 5 business days and may not redact the named party or policy limits.</t>
        </is>
      </c>
    </row>
    <row r="30" ht="60" customHeight="1" s="355">
      <c r="A30" s="349" t="inlineStr">
        <is>
          <t>New Hampshire</t>
        </is>
      </c>
      <c r="B30" s="349" t="inlineStr">
        <is>
          <t>Litigation Only</t>
        </is>
      </c>
      <c r="C30" s="349" t="inlineStr">
        <is>
          <t>Claimant</t>
        </is>
      </c>
      <c r="D30" s="349" t="inlineStr">
        <is>
          <t>Discovery Rules</t>
        </is>
      </c>
      <c r="E30" s="349" t="inlineStr">
        <is>
          <t>BI Limits; PD Limits</t>
        </is>
      </c>
      <c r="F30" s="349" t="inlineStr">
        <is>
          <t>N.H. Rev. Stat. § 498:2-a</t>
        </is>
      </c>
      <c r="G30" s="349" t="inlineStr">
        <is>
          <t>https://www.gencourt.state.nh.us/rsa/html/LI/498/498-2-a.htm</t>
        </is>
      </c>
      <c r="H30" s="349" t="inlineStr">
        <is>
          <t>No general pre-suit disclosure requirement identified. After suit for negligence and an appearance by the defendant, the defendant or liability insurer must disclose applicable policy limits to the claimant or claimant's counsel.</t>
        </is>
      </c>
    </row>
    <row r="31" ht="60" customHeight="1" s="355">
      <c r="A31" s="349" t="inlineStr">
        <is>
          <t>New Jersey</t>
        </is>
      </c>
      <c r="B31" s="349" t="inlineStr">
        <is>
          <t>Yes</t>
        </is>
      </c>
      <c r="C31" s="349" t="inlineStr">
        <is>
          <t>Attorney admitted in New Jersey</t>
        </is>
      </c>
      <c r="D31" s="349" t="inlineStr">
        <is>
          <t>30 days</t>
        </is>
      </c>
      <c r="E31" s="349" t="inlineStr">
        <is>
          <t>Policy limits under applicable private passenger automobile or motor vehicle liability policy</t>
        </is>
      </c>
      <c r="F31" s="349" t="inlineStr">
        <is>
          <t>N.J. Stat. §§ 39:6A-13.2; 39:6B-1.1</t>
        </is>
      </c>
      <c r="G31" s="349" t="inlineStr">
        <is>
          <t>https://pub.njleg.state.nj.us/Bills/2022/AL22/95_.PDF</t>
        </is>
      </c>
      <c r="H31" s="349" t="inlineStr">
        <is>
          <t>Requires written disclosure to a New Jersey attorney after a qualifying request. State law has separate provisions for private passenger auto and certain other motor vehicle liability policies.</t>
        </is>
      </c>
    </row>
    <row r="32" ht="60" customHeight="1" s="355">
      <c r="A32" s="349" t="inlineStr">
        <is>
          <t>New Mexico</t>
        </is>
      </c>
      <c r="B32" s="349" t="inlineStr">
        <is>
          <t>Litigation Only</t>
        </is>
      </c>
      <c r="C32" s="349" t="inlineStr">
        <is>
          <t>Party to Litigation</t>
        </is>
      </c>
      <c r="D32" s="349" t="inlineStr">
        <is>
          <t>Discovery Rules</t>
        </is>
      </c>
      <c r="E32" s="349" t="inlineStr">
        <is>
          <t>Insurance Agreements</t>
        </is>
      </c>
      <c r="F32" s="349" t="inlineStr">
        <is>
          <t>N.M. R. Civ. P. Dist. Ct. 1-026(B)(2)</t>
        </is>
      </c>
      <c r="G32" s="349" t="inlineStr">
        <is>
          <t>https://nmonesource.com/nmos/nmra/en/item/5636/index.do</t>
        </is>
      </c>
      <c r="H32" s="349" t="inlineStr">
        <is>
          <t>No identified statutory requirement for pre-suit disclosure of liability policy limits to third-party claimants. Insurance agreements are discoverable during litigation.</t>
        </is>
      </c>
    </row>
    <row r="33" ht="60" customHeight="1" s="355">
      <c r="A33" s="349" t="inlineStr">
        <is>
          <t>New York</t>
        </is>
      </c>
      <c r="B33" s="349" t="inlineStr">
        <is>
          <t>Litigation Only</t>
        </is>
      </c>
      <c r="C33" s="349" t="inlineStr">
        <is>
          <t>Any party in litigation</t>
        </is>
      </c>
      <c r="D33" s="349" t="inlineStr">
        <is>
          <t>Discovery timing after suit</t>
        </is>
      </c>
      <c r="E33" s="349" t="inlineStr">
        <is>
          <t>Existence and contents of insurance agreements that may satisfy judgment</t>
        </is>
      </c>
      <c r="F33" s="349" t="inlineStr">
        <is>
          <t>N.Y. C.P.L.R. 3101(f)</t>
        </is>
      </c>
      <c r="G33" s="349" t="inlineStr">
        <is>
          <t>https://www.nysenate.gov/legislation/laws/CVP/3101</t>
        </is>
      </c>
      <c r="H33" s="349" t="inlineStr">
        <is>
          <t>Insurance information is discoverable in litigation; no broad pre-suit claimant policy-limits disclosure requirement was confirmed in this build.</t>
        </is>
      </c>
    </row>
    <row r="34" ht="60" customHeight="1" s="355">
      <c r="A34" s="349" t="inlineStr">
        <is>
          <t>North Carolina</t>
        </is>
      </c>
      <c r="B34" s="349" t="inlineStr">
        <is>
          <t>Conditional</t>
        </is>
      </c>
      <c r="C34" s="349" t="inlineStr">
        <is>
          <t>Claimant or claimant attorney</t>
        </is>
      </c>
      <c r="D34" s="349" t="inlineStr">
        <is>
          <t>30 days after required documents</t>
        </is>
      </c>
      <c r="E34" s="349" t="inlineStr">
        <is>
          <t>Policy limits</t>
        </is>
      </c>
      <c r="F34" s="349" t="inlineStr">
        <is>
          <t>N.C. Gen. Stat. § 58-3-33</t>
        </is>
      </c>
      <c r="G34" s="349" t="inlineStr">
        <is>
          <t>https://www.ncleg.gov/EnactedLegislation/Statutes/PDF/BySection/Chapter_58/GS_58-3-33.pdf</t>
        </is>
      </c>
      <c r="H34" s="349" t="inlineStr">
        <is>
          <t>Requires disclosure after a qualifying written request and required supporting materials; does not apply to medical-malpractice claims or claims where the insurer intends to deny coverage.</t>
        </is>
      </c>
    </row>
    <row r="35" ht="60" customHeight="1" s="355">
      <c r="A35" s="349" t="inlineStr">
        <is>
          <t>North Dakota</t>
        </is>
      </c>
      <c r="B35" s="349" t="inlineStr">
        <is>
          <t>Litigation Only</t>
        </is>
      </c>
      <c r="C35" s="349" t="inlineStr">
        <is>
          <t>Party to Litigation</t>
        </is>
      </c>
      <c r="D35" s="349" t="inlineStr">
        <is>
          <t>Discovery Rules</t>
        </is>
      </c>
      <c r="E35" s="349" t="inlineStr">
        <is>
          <t>Insurance Agreements</t>
        </is>
      </c>
      <c r="F35" s="349" t="inlineStr">
        <is>
          <t>N.D.R.Civ.P. 26(b)(2)</t>
        </is>
      </c>
      <c r="G35" s="349" t="inlineStr">
        <is>
          <t>https://www.ndcourts.gov/legal-resources/rules/ndrcivp/26</t>
        </is>
      </c>
      <c r="H35" s="349" t="inlineStr">
        <is>
          <t>No identified statutory requirement for pre-suit disclosure of liability policy limits to third-party claimants. Insurance agreements are discoverable during litigation.</t>
        </is>
      </c>
    </row>
    <row r="36" ht="60" customHeight="1" s="355">
      <c r="A36" s="349" t="inlineStr">
        <is>
          <t>Ohio</t>
        </is>
      </c>
      <c r="B36" s="349" t="inlineStr">
        <is>
          <t>Litigation Only</t>
        </is>
      </c>
      <c r="C36" s="349" t="inlineStr">
        <is>
          <t>Party to Litigation</t>
        </is>
      </c>
      <c r="D36" s="349" t="inlineStr">
        <is>
          <t>Discovery Rules</t>
        </is>
      </c>
      <c r="E36" s="349" t="inlineStr">
        <is>
          <t>Insurance Agreements</t>
        </is>
      </c>
      <c r="F36" s="349" t="inlineStr">
        <is>
          <t>Ohio Civ.R. 26(B)(8)</t>
        </is>
      </c>
      <c r="G36" s="349" t="inlineStr">
        <is>
          <t>https://www.supremecourt.ohio.gov/docs/LegalResources/Rules/civil/CivilProcedure.pdf</t>
        </is>
      </c>
      <c r="H36" s="349" t="inlineStr">
        <is>
          <t>No identified statutory requirement for pre-suit disclosure of liability policy limits to third-party claimants. Insurance agreements are discoverable during litigation.</t>
        </is>
      </c>
    </row>
    <row r="37" ht="60" customHeight="1" s="355">
      <c r="A37" s="349" t="inlineStr">
        <is>
          <t>Oklahoma</t>
        </is>
      </c>
      <c r="B37" s="349" t="inlineStr">
        <is>
          <t>Litigation Only</t>
        </is>
      </c>
      <c r="C37" s="349" t="inlineStr">
        <is>
          <t>Party to Litigation</t>
        </is>
      </c>
      <c r="D37" s="349" t="inlineStr">
        <is>
          <t>Discovery Rules</t>
        </is>
      </c>
      <c r="E37" s="349" t="inlineStr">
        <is>
          <t>Insurance Agreements</t>
        </is>
      </c>
      <c r="F37" s="349" t="inlineStr">
        <is>
          <t>Okla. Stat. tit. 12, § 3226(B)(2)(b)</t>
        </is>
      </c>
      <c r="G37" s="349" t="inlineStr">
        <is>
          <t>https://www.oscn.net/applications/oscn/DeliverDocument.asp?CiteID=440624</t>
        </is>
      </c>
      <c r="H37" s="349" t="inlineStr">
        <is>
          <t>No identified statutory requirement for pre-suit disclosure of liability policy limits to third-party claimants. Insurance agreements are discoverable during litigation.</t>
        </is>
      </c>
    </row>
    <row r="38" ht="60" customHeight="1" s="355">
      <c r="A38" s="349" t="inlineStr">
        <is>
          <t>Oregon</t>
        </is>
      </c>
      <c r="B38" s="349" t="inlineStr">
        <is>
          <t>Litigation Only</t>
        </is>
      </c>
      <c r="C38" s="349" t="inlineStr">
        <is>
          <t>Party to Litigation</t>
        </is>
      </c>
      <c r="D38" s="349" t="inlineStr">
        <is>
          <t>Discovery Rules</t>
        </is>
      </c>
      <c r="E38" s="349" t="inlineStr">
        <is>
          <t>Insurance Agreements; Reservation of Rights; Coverage Defenses</t>
        </is>
      </c>
      <c r="F38" s="349" t="inlineStr">
        <is>
          <t>ORCP 36 B(2)</t>
        </is>
      </c>
      <c r="G38" s="349" t="inlineStr">
        <is>
          <t>https://www.oregonlegislature.gov/bills_laws/SiteAssets/ORCP.html</t>
        </is>
      </c>
      <c r="H38" s="349" t="inlineStr">
        <is>
          <t>No identified general pre-suit policy-limit disclosure statute for third-party claimants. Insurance coverage information is discoverable during litigation, including limits and certain coverage-position information.</t>
        </is>
      </c>
    </row>
    <row r="39" ht="60" customHeight="1" s="355">
      <c r="A39" s="349" t="inlineStr">
        <is>
          <t>Pennsylvania</t>
        </is>
      </c>
      <c r="B39" s="349" t="inlineStr">
        <is>
          <t>Litigation Only</t>
        </is>
      </c>
      <c r="C39" s="349" t="inlineStr">
        <is>
          <t>Party to Litigation</t>
        </is>
      </c>
      <c r="D39" s="349" t="inlineStr">
        <is>
          <t>Discovery Rules</t>
        </is>
      </c>
      <c r="E39" s="349" t="inlineStr">
        <is>
          <t>Insurance Agreements</t>
        </is>
      </c>
      <c r="F39" s="349" t="inlineStr">
        <is>
          <t>Pa. R.C.P. 4003.2</t>
        </is>
      </c>
      <c r="G39" s="349" t="inlineStr">
        <is>
          <t>https://www.pacodeandbulletin.gov/Display/pacode?d=reduce&amp;file=/secure/pacode/data/231/chapter4000/s4003.2.html</t>
        </is>
      </c>
      <c r="H39" s="349" t="inlineStr">
        <is>
          <t>No identified statutory requirement for pre-suit disclosure of liability policy limits to third-party claimants. Insurance agreements are discoverable during litigation.</t>
        </is>
      </c>
    </row>
    <row r="40" ht="60" customHeight="1" s="355">
      <c r="A40" s="349" t="inlineStr">
        <is>
          <t>Rhode Island</t>
        </is>
      </c>
      <c r="B40" s="349" t="inlineStr">
        <is>
          <t>Yes</t>
        </is>
      </c>
      <c r="C40" s="349" t="inlineStr">
        <is>
          <t>Injured party or injured party attorney</t>
        </is>
      </c>
      <c r="D40" s="349" t="inlineStr">
        <is>
          <t>14 Days</t>
        </is>
      </c>
      <c r="E40" s="349" t="inlineStr">
        <is>
          <t>Amount of insured's liability coverage limits</t>
        </is>
      </c>
      <c r="F40" s="349" t="inlineStr">
        <is>
          <t>R.I. Gen. Laws § 27-7-5</t>
        </is>
      </c>
      <c r="G40" s="349" t="inlineStr">
        <is>
          <t>https://webserver.rilegislature.gov/Statutes/TITLE27/27-7/27-7-5.htm</t>
        </is>
      </c>
      <c r="H40" s="349" t="inlineStr">
        <is>
          <t>Insurer must reveal liability coverage limits to an injured party or the injured party's attorney within 14 days after written request.</t>
        </is>
      </c>
    </row>
    <row r="41" ht="60" customHeight="1" s="355">
      <c r="A41" s="349" t="inlineStr">
        <is>
          <t>South Carolina</t>
        </is>
      </c>
      <c r="B41" s="349" t="inlineStr">
        <is>
          <t>Yes</t>
        </is>
      </c>
      <c r="C41" s="349" t="inlineStr">
        <is>
          <t>Claimant Attorney</t>
        </is>
      </c>
      <c r="D41" s="349" t="inlineStr">
        <is>
          <t>30 Days</t>
        </is>
      </c>
      <c r="E41" s="349" t="inlineStr">
        <is>
          <t>BI Limits; PD Limits</t>
        </is>
      </c>
      <c r="F41" s="349" t="inlineStr">
        <is>
          <t>S.C. Code § 38-77-250</t>
        </is>
      </c>
      <c r="G41" s="349" t="inlineStr">
        <is>
          <t>https://www.scstatehouse.gov/code/t38c077.php</t>
        </is>
      </c>
      <c r="H41" s="349" t="inlineStr">
        <is>
          <t>Insurer must provide a sworn statement of coverage information within 30 days after a qualifying written request from the claimant's attorney. Umbrella and excess coverage are not required under this statute.</t>
        </is>
      </c>
    </row>
    <row r="42" ht="60" customHeight="1" s="355">
      <c r="A42" s="349" t="inlineStr">
        <is>
          <t>South Dakota</t>
        </is>
      </c>
      <c r="B42" s="349" t="inlineStr">
        <is>
          <t>Litigation Only</t>
        </is>
      </c>
      <c r="C42" s="349" t="inlineStr">
        <is>
          <t>Party to Litigation</t>
        </is>
      </c>
      <c r="D42" s="349" t="inlineStr">
        <is>
          <t>30 Days</t>
        </is>
      </c>
      <c r="E42" s="349" t="inlineStr">
        <is>
          <t>BI Limits; PD Limits; Named Insured Information</t>
        </is>
      </c>
      <c r="F42" s="349" t="inlineStr">
        <is>
          <t>S.D. Codified Laws § 15-6-26(b)</t>
        </is>
      </c>
      <c r="G42" s="349" t="inlineStr">
        <is>
          <t>https://sdlegislature.gov/Statutes/15-6-26%28b%29</t>
        </is>
      </c>
      <c r="H42" s="349" t="inlineStr">
        <is>
          <t>No identified statutory requirement for pre-suit disclosure of liability policy limits to third-party claimants. Insurance agreements are discoverable during litigation.</t>
        </is>
      </c>
    </row>
    <row r="43" ht="60" customHeight="1" s="355">
      <c r="A43" s="349" t="inlineStr">
        <is>
          <t>Tennessee</t>
        </is>
      </c>
      <c r="B43" s="349" t="inlineStr">
        <is>
          <t>No</t>
        </is>
      </c>
      <c r="C43" s="349" t="inlineStr">
        <is>
          <t>N/A</t>
        </is>
      </c>
      <c r="D43" s="349" t="inlineStr">
        <is>
          <t>No Statutory Deadline</t>
        </is>
      </c>
      <c r="E43" s="349" t="inlineStr">
        <is>
          <t>No Required Disclosure</t>
        </is>
      </c>
      <c r="F43" s="349" t="inlineStr">
        <is>
          <t>Thomas v. Oldfield, 279 S.W.3d 259 (Tenn. 2009)</t>
        </is>
      </c>
      <c r="G43" s="349" t="inlineStr">
        <is>
          <t>https://www.tncourts.gov/courts/supreme-court/opinions/2009/02/02/james-g-thomas-jr-brother-and-next-kin-karen-g-thomas</t>
        </is>
      </c>
      <c r="H43" s="349" t="inlineStr">
        <is>
          <t>No identified statutory requirement for pre-suit disclosure of liability policy limits to third-party claimants. Tennessee Supreme Court authority holds liability insurance information is not discoverable under Tenn. R. Civ. P. 26.02.</t>
        </is>
      </c>
    </row>
    <row r="44" ht="60" customHeight="1" s="355">
      <c r="A44" s="349" t="inlineStr">
        <is>
          <t>Texas</t>
        </is>
      </c>
      <c r="B44" s="349" t="inlineStr">
        <is>
          <t>Litigation Only</t>
        </is>
      </c>
      <c r="C44" s="349" t="inlineStr">
        <is>
          <t>Party to Litigation</t>
        </is>
      </c>
      <c r="D44" s="349" t="inlineStr">
        <is>
          <t>Discovery Rules</t>
        </is>
      </c>
      <c r="E44" s="349" t="inlineStr">
        <is>
          <t>Insurance Agreements</t>
        </is>
      </c>
      <c r="F44" s="349" t="inlineStr">
        <is>
          <t>Tex. R. Civ. P. 194.2(b)(7); Tex. R. Civ. P. 192.3(f)</t>
        </is>
      </c>
      <c r="G44" s="349" t="inlineStr">
        <is>
          <t>https://www.txcourts.gov/media/1456903/239052.pdf</t>
        </is>
      </c>
      <c r="H44" s="349" t="inlineStr">
        <is>
          <t>No identified statutory requirement for pre-suit disclosure of liability policy limits to third-party claimants. Insurance agreements are disclosed through Texas litigation discovery rules.</t>
        </is>
      </c>
    </row>
    <row r="45" ht="60" customHeight="1" s="355">
      <c r="A45" s="349" t="inlineStr">
        <is>
          <t>Utah</t>
        </is>
      </c>
      <c r="B45" s="349" t="inlineStr">
        <is>
          <t>Litigation Only</t>
        </is>
      </c>
      <c r="C45" s="349" t="inlineStr">
        <is>
          <t>Party to Litigation</t>
        </is>
      </c>
      <c r="D45" s="349" t="inlineStr">
        <is>
          <t>Plaintiff initial disclosures within 14 days after first answer; defendant within 42 days after first answer</t>
        </is>
      </c>
      <c r="E45" s="349" t="inlineStr">
        <is>
          <t>Copy of any agreement under which any person may satisfy part or all of a judgment or indemnify/reimburse payment</t>
        </is>
      </c>
      <c r="F45" s="349" t="inlineStr">
        <is>
          <t>Utah R. Civ. P. 26(a)(1)(D), 26(a)(2)</t>
        </is>
      </c>
      <c r="G45" s="349" t="inlineStr">
        <is>
          <t>https://legacy.utcourts.gov/rules/view.php?rule=26&amp;type=urcp</t>
        </is>
      </c>
      <c r="H45" s="349" t="inlineStr">
        <is>
          <t>No Utah pre-suit policy-limits disclosure statute was confirmed. Utah Rule 26 requires litigation initial disclosures including agreements that may satisfy, indemnify, or reimburse part or all of a judgment.</t>
        </is>
      </c>
    </row>
    <row r="46" ht="60" customHeight="1" s="355">
      <c r="A46" s="349" t="inlineStr">
        <is>
          <t>Vermont</t>
        </is>
      </c>
      <c r="B46" s="349" t="inlineStr">
        <is>
          <t>Litigation Only</t>
        </is>
      </c>
      <c r="C46" s="349" t="inlineStr">
        <is>
          <t>Party to Litigation</t>
        </is>
      </c>
      <c r="D46" s="349" t="inlineStr">
        <is>
          <t>Discovery Rules</t>
        </is>
      </c>
      <c r="E46" s="349" t="inlineStr">
        <is>
          <t>Insurance Agreements</t>
        </is>
      </c>
      <c r="F46" s="349" t="inlineStr">
        <is>
          <t>Vt. R. Civ. P. 26(b)(2)</t>
        </is>
      </c>
      <c r="G46" s="349" t="inlineStr">
        <is>
          <t>https://www.vermontjudiciary.org/sites/default/files/documents/PROMULGATEDVRCP1_26_34%28b%29_37%28f%29_55%28c%29-DiscoveryRules.pdf</t>
        </is>
      </c>
      <c r="H46" s="349" t="inlineStr">
        <is>
          <t>No identified statutory requirement for pre-suit disclosure of liability policy limits to third-party claimants. Insurance agreements are discoverable during litigation.</t>
        </is>
      </c>
    </row>
    <row r="47" ht="60" customHeight="1" s="355">
      <c r="A47" s="349" t="inlineStr">
        <is>
          <t>Virginia</t>
        </is>
      </c>
      <c r="B47" s="349" t="inlineStr">
        <is>
          <t>Conditional</t>
        </is>
      </c>
      <c r="C47" s="349" t="inlineStr">
        <is>
          <t>Injured person, personal representative, or attorney</t>
        </is>
      </c>
      <c r="D47" s="349" t="inlineStr">
        <is>
          <t>30 days after qualifying request</t>
        </is>
      </c>
      <c r="E47" s="349" t="inlineStr">
        <is>
          <t>Limits of liability for all applicable policies and insured address</t>
        </is>
      </c>
      <c r="F47" s="349" t="inlineStr">
        <is>
          <t>Va. Code § 8.01-417</t>
        </is>
      </c>
      <c r="G47" s="349" t="inlineStr">
        <is>
          <t>https://law.lis.virginia.gov/vacode/title8.01/chapter14/section8.01-417/</t>
        </is>
      </c>
      <c r="H47" s="349" t="inlineStr">
        <is>
          <t>Motor-vehicle disclosure applies after statutory claim information and either $12,500 in medical bills/wage losses or specified criminal charges; insurer must respond even if it contests policy applicability.</t>
        </is>
      </c>
    </row>
    <row r="48" ht="60" customHeight="1" s="355">
      <c r="A48" s="349" t="inlineStr">
        <is>
          <t>Washington</t>
        </is>
      </c>
      <c r="B48" s="349" t="inlineStr">
        <is>
          <t>Litigation Only</t>
        </is>
      </c>
      <c r="C48" s="349" t="inlineStr">
        <is>
          <t>Party to Litigation</t>
        </is>
      </c>
      <c r="D48" s="349" t="inlineStr">
        <is>
          <t>Discovery Rules</t>
        </is>
      </c>
      <c r="E48" s="349" t="inlineStr">
        <is>
          <t>Insurance Agreements; Reservation of Rights; Coverage Defenses</t>
        </is>
      </c>
      <c r="F48" s="349" t="inlineStr">
        <is>
          <t>Wash. CR 26(b)(2)</t>
        </is>
      </c>
      <c r="G48" s="349" t="inlineStr">
        <is>
          <t>https://www.courts.wa.gov/court_rules/?fa=court_rules.display&amp;group=sup&amp;ruleid=supcr26&amp;set=cr</t>
        </is>
      </c>
      <c r="H48" s="349" t="inlineStr">
        <is>
          <t>No identified statutory requirement for pre-suit disclosure of liability policy limits to third-party claimants. Insurance agreements are discoverable during litigation.</t>
        </is>
      </c>
    </row>
    <row r="49" ht="60" customHeight="1" s="355">
      <c r="A49" s="349" t="inlineStr">
        <is>
          <t>West Virginia</t>
        </is>
      </c>
      <c r="B49" s="349" t="inlineStr">
        <is>
          <t>Yes</t>
        </is>
      </c>
      <c r="C49" s="349" t="inlineStr">
        <is>
          <t>Claimant</t>
        </is>
      </c>
      <c r="D49" s="349" t="inlineStr">
        <is>
          <t>Upon Written Request</t>
        </is>
      </c>
      <c r="E49" s="349" t="inlineStr">
        <is>
          <t>BI Limits; PD Limits; Named Insured Information; Umbrella Coverage; Excess Coverage</t>
        </is>
      </c>
      <c r="F49" s="349" t="inlineStr">
        <is>
          <t>W. Va. Code § 33-6F-2</t>
        </is>
      </c>
      <c r="G49" s="349" t="inlineStr">
        <is>
          <t>https://code.wvlegislature.gov/33-6F-2/</t>
        </is>
      </c>
      <c r="H49" s="349" t="inlineStr">
        <is>
          <t>Statute requires disclosure of liability limits and applicable excess or umbrella coverage information.</t>
        </is>
      </c>
    </row>
    <row r="50" ht="60" customHeight="1" s="355">
      <c r="A50" s="349" t="inlineStr">
        <is>
          <t>Wisconsin</t>
        </is>
      </c>
      <c r="B50" s="349" t="inlineStr">
        <is>
          <t>Litigation Only</t>
        </is>
      </c>
      <c r="C50" s="349" t="inlineStr">
        <is>
          <t>Party to Litigation</t>
        </is>
      </c>
      <c r="D50" s="349" t="inlineStr">
        <is>
          <t>Discovery Rules</t>
        </is>
      </c>
      <c r="E50" s="349" t="inlineStr">
        <is>
          <t>Insurance Agreements</t>
        </is>
      </c>
      <c r="F50" s="349" t="inlineStr">
        <is>
          <t>Wis. Stat. § 804.01(2)(b)</t>
        </is>
      </c>
      <c r="G50" s="349" t="inlineStr">
        <is>
          <t>https://docs.legis.wisconsin.gov/document/statutes/804.01%282%29%28b%29</t>
        </is>
      </c>
      <c r="H50" s="349" t="inlineStr">
        <is>
          <t>No identified statutory requirement for pre-suit disclosure of liability policy limits to third-party claimants. Insurance agreements are discoverable during litigation.</t>
        </is>
      </c>
    </row>
    <row r="51" ht="60" customHeight="1" s="355">
      <c r="A51" s="349" t="inlineStr">
        <is>
          <t>Wyoming</t>
        </is>
      </c>
      <c r="B51" s="349" t="inlineStr">
        <is>
          <t>Litigation Only</t>
        </is>
      </c>
      <c r="C51" s="349" t="inlineStr">
        <is>
          <t>Party to Litigation</t>
        </is>
      </c>
      <c r="D51" s="349" t="inlineStr">
        <is>
          <t>Discovery Rules</t>
        </is>
      </c>
      <c r="E51" s="349" t="inlineStr">
        <is>
          <t>Insurance Agreements</t>
        </is>
      </c>
      <c r="F51" s="349" t="inlineStr">
        <is>
          <t>Wyo. R. Civ. P. 26(a)(1)(A)(iv)</t>
        </is>
      </c>
      <c r="G51" s="349" t="inlineStr">
        <is>
          <t>https://www.wyocourts.gov/app/uploads/2025/01/Wyoming-Rules-of-Civil-Procedure-August-2024.pdf</t>
        </is>
      </c>
      <c r="H51" s="349" t="inlineStr">
        <is>
          <t>No identified statutory requirement for pre-suit disclosure of liability policy limits to third-party claimants. Insurance agreements are disclosed during litigation.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style="355" min="1" max="1"/>
    <col width="34" customWidth="1" style="355" min="2" max="2"/>
    <col width="58" customWidth="1" style="355" min="3" max="3"/>
    <col width="70" customWidth="1" style="355" min="4" max="4"/>
  </cols>
  <sheetData>
    <row r="1">
      <c r="A1" s="360" t="inlineStr">
        <is>
          <t>Category</t>
        </is>
      </c>
      <c r="B1" s="360" t="inlineStr">
        <is>
          <t>Source / Item</t>
        </is>
      </c>
      <c r="C1" s="360" t="inlineStr">
        <is>
          <t>URL</t>
        </is>
      </c>
      <c r="D1" s="360" t="inlineStr">
        <is>
          <t>Notes</t>
        </is>
      </c>
    </row>
    <row r="2">
      <c r="A2" s="348" t="inlineStr">
        <is>
          <t>Policy Disclosure Research</t>
        </is>
      </c>
      <c r="B2" s="348" t="inlineStr">
        <is>
          <t>Florida § 627.4137</t>
        </is>
      </c>
      <c r="C2" s="348" t="inlineStr">
        <is>
          <t>https://www.leg.state.fl.us/Statutes/index.cfm?App_mode=Display_Statute&amp;URL=0600-0699/0627/Sections/0627.4137.html</t>
        </is>
      </c>
      <c r="D2" s="348" t="inlineStr">
        <is>
          <t>Official Florida statute used for disclosure requirements.</t>
        </is>
      </c>
    </row>
    <row r="3">
      <c r="A3" s="348" t="inlineStr">
        <is>
          <t>Policy Disclosure Research</t>
        </is>
      </c>
      <c r="B3" s="348" t="inlineStr">
        <is>
          <t>North Carolina § 58-3-33</t>
        </is>
      </c>
      <c r="C3" s="348" t="inlineStr">
        <is>
          <t>https://www.ncleg.gov/EnactedLegislation/Statutes/HTML/BySection/Chapter_58/GS_58-3-33.html</t>
        </is>
      </c>
      <c r="D3" s="348" t="inlineStr">
        <is>
          <t>Official North Carolina statute used for conditional disclosure requirements.</t>
        </is>
      </c>
    </row>
    <row r="4">
      <c r="A4" s="348" t="inlineStr">
        <is>
          <t>Policy Disclosure Research</t>
        </is>
      </c>
      <c r="B4" s="348" t="inlineStr">
        <is>
          <t>Minnesota § 72A.201</t>
        </is>
      </c>
      <c r="C4" s="348" t="inlineStr">
        <is>
          <t>https://www.revisor.mn.gov/statutes/cite/72A.201</t>
        </is>
      </c>
      <c r="D4" s="348" t="inlineStr">
        <is>
          <t>Official Minnesota statute used for disclosure requirements.</t>
        </is>
      </c>
    </row>
    <row r="5">
      <c r="A5" s="348" t="inlineStr">
        <is>
          <t>Policy Disclosure Research</t>
        </is>
      </c>
      <c r="B5" s="348" t="inlineStr">
        <is>
          <t>Virginia § 8.01-417</t>
        </is>
      </c>
      <c r="C5" s="348" t="inlineStr">
        <is>
          <t>https://law.lis.virginia.gov/vacode/title8.01/chapter14/section8.01-417/</t>
        </is>
      </c>
      <c r="D5" s="348" t="inlineStr">
        <is>
          <t>Official Virginia statute used for conditional disclosure requirements.</t>
        </is>
      </c>
    </row>
    <row r="6">
      <c r="A6" s="348" t="inlineStr">
        <is>
          <t>Build Note</t>
        </is>
      </c>
      <c r="B6" s="348" t="inlineStr">
        <is>
          <t>No identified statute rows</t>
        </is>
      </c>
      <c r="C6" s="348" t="str"/>
      <c r="D6" s="348" t="inlineStr">
        <is>
          <t>Rows marked No mean no specific pre-suit auto policy-limit disclosure statute was identified during this build; litigation discovery may still apply.</t>
        </is>
      </c>
    </row>
    <row r="8">
      <c r="A8" s="359" t="inlineStr">
        <is>
          <t>Policy Disclosure Authority Audit</t>
        </is>
      </c>
      <c r="B8" s="359" t="inlineStr">
        <is>
          <t>Rows Updated</t>
        </is>
      </c>
      <c r="C8" s="359" t="inlineStr">
        <is>
          <t>Date</t>
        </is>
      </c>
      <c r="D8" s="359" t="inlineStr">
        <is>
          <t>Notes</t>
        </is>
      </c>
    </row>
    <row r="9">
      <c r="A9" s="338" t="inlineStr">
        <is>
          <t>Citation/URL cleanup</t>
        </is>
      </c>
      <c r="B9" s="338" t="n">
        <v>20</v>
      </c>
      <c r="C9" s="338" t="inlineStr">
        <is>
          <t>2026-06-06</t>
        </is>
      </c>
      <c r="D9" s="338" t="inlineStr">
        <is>
          <t>Replaced Google-search URLs and placeholder citation text in Policy Disclosures with state rule/statute/case citations and source URLs.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style="355" min="1" max="1"/>
    <col width="22" customWidth="1" style="355" min="2" max="2"/>
    <col width="45" customWidth="1" style="355" min="3" max="3"/>
    <col width="38" customWidth="1" style="355" min="4" max="4"/>
    <col width="25" customWidth="1" style="355" min="5" max="5"/>
    <col width="25" customWidth="1" style="355" min="6" max="6"/>
  </cols>
  <sheetData>
    <row r="1">
      <c r="A1" s="74" t="inlineStr">
        <is>
          <t>Policy Disclosure Authority QA</t>
        </is>
      </c>
      <c r="B1" s="74" t="str"/>
      <c r="C1" s="74" t="str"/>
      <c r="D1" s="74" t="str"/>
      <c r="E1" s="74" t="str"/>
      <c r="F1" s="74" t="str"/>
    </row>
    <row r="2">
      <c r="A2" s="348" t="inlineStr">
        <is>
          <t>Purpose</t>
        </is>
      </c>
      <c r="B2" s="348" t="inlineStr">
        <is>
          <t>Track the post-cleanup source-quality audit for Policy Disclosures.</t>
        </is>
      </c>
      <c r="C2" s="348" t="str"/>
      <c r="D2" s="348" t="str"/>
      <c r="E2" s="348" t="str"/>
      <c r="F2" s="348" t="str"/>
    </row>
    <row r="3">
      <c r="A3" s="348" t="inlineStr">
        <is>
          <t>Pass Date</t>
        </is>
      </c>
      <c r="B3" s="348" t="inlineStr">
        <is>
          <t>2026-06-06</t>
        </is>
      </c>
      <c r="C3" s="348" t="str"/>
      <c r="D3" s="348" t="str"/>
      <c r="E3" s="348" t="str"/>
      <c r="F3" s="348" t="str"/>
    </row>
    <row r="4">
      <c r="A4" s="348" t="str"/>
      <c r="B4" s="348" t="str"/>
      <c r="C4" s="348" t="str"/>
      <c r="D4" s="348" t="str"/>
      <c r="E4" s="348" t="str"/>
      <c r="F4" s="348" t="str"/>
    </row>
    <row r="5">
      <c r="A5" s="365" t="inlineStr">
        <is>
          <t>Category</t>
        </is>
      </c>
      <c r="B5" s="365" t="inlineStr">
        <is>
          <t>Count/Status</t>
        </is>
      </c>
      <c r="C5" s="365" t="inlineStr">
        <is>
          <t>Notes</t>
        </is>
      </c>
      <c r="D5" s="365" t="inlineStr">
        <is>
          <t>Next Action</t>
        </is>
      </c>
      <c r="E5" s="365" t="inlineStr">
        <is>
          <t>Example States</t>
        </is>
      </c>
      <c r="F5" s="365" t="inlineStr">
        <is>
          <t>Source Preference</t>
        </is>
      </c>
    </row>
    <row r="6">
      <c r="A6" s="348" t="inlineStr">
        <is>
          <t>Rows with Google-search URLs</t>
        </is>
      </c>
      <c r="B6" s="348" t="inlineStr">
        <is>
          <t>0</t>
        </is>
      </c>
      <c r="C6" s="348" t="inlineStr">
        <is>
          <t>Removed in prior cleanup pass.</t>
        </is>
      </c>
      <c r="D6" s="348" t="inlineStr">
        <is>
          <t>No action needed.</t>
        </is>
      </c>
      <c r="E6" s="348" t="str"/>
      <c r="F6" s="348" t="inlineStr">
        <is>
          <t>Official/state source preferred</t>
        </is>
      </c>
    </row>
    <row r="7">
      <c r="A7" s="348" t="inlineStr">
        <is>
          <t>Rows with blank URLs</t>
        </is>
      </c>
      <c r="B7" s="348" t="inlineStr">
        <is>
          <t>0</t>
        </is>
      </c>
      <c r="C7" s="348" t="inlineStr">
        <is>
          <t>All rows have a URL value.</t>
        </is>
      </c>
      <c r="D7" s="348" t="inlineStr">
        <is>
          <t>Continue source quality upgrades.</t>
        </is>
      </c>
      <c r="E7" s="348" t="str"/>
      <c r="F7" s="348" t="inlineStr">
        <is>
          <t>Official/state source preferred</t>
        </is>
      </c>
    </row>
    <row r="8">
      <c r="A8" s="348" t="inlineStr">
        <is>
          <t>Non-government URLs remaining</t>
        </is>
      </c>
      <c r="B8" s="348" t="inlineStr">
        <is>
          <t>Present</t>
        </is>
      </c>
      <c r="C8" s="348" t="inlineStr">
        <is>
          <t>Some states use Justia, FindLaw, Cornell, Westlaw, or other secondary mirrors where official code/rule pages were not yet substituted.</t>
        </is>
      </c>
      <c r="D8" s="348" t="inlineStr">
        <is>
          <t>Replace where official state pages are available.</t>
        </is>
      </c>
      <c r="E8" s="348" t="inlineStr">
        <is>
          <t>Georgia; Rhode Island; Pennsylvania; Kentucky; Michigan</t>
        </is>
      </c>
      <c r="F8" s="348" t="inlineStr">
        <is>
          <t>State legislature/court/DOI</t>
        </is>
      </c>
    </row>
    <row r="9">
      <c r="A9" s="348" t="inlineStr">
        <is>
          <t>Updated this pass</t>
        </is>
      </c>
      <c r="B9" s="348" t="inlineStr">
        <is>
          <t>4 source corrections + normalization edits</t>
        </is>
      </c>
      <c r="C9" s="348" t="inlineStr">
        <is>
          <t>Replaced Colorado, Nevada, and South Carolina URLs with official sources; corrected Georgia deadline/information; normalized California litigation fields.</t>
        </is>
      </c>
      <c r="D9" s="348" t="inlineStr">
        <is>
          <t>Spot-check remaining secondary URLs.</t>
        </is>
      </c>
      <c r="E9" s="348" t="inlineStr">
        <is>
          <t>CO; GA; NV; SC; CA</t>
        </is>
      </c>
      <c r="F9" s="348" t="inlineStr">
        <is>
          <t>Official/state source preferred</t>
        </is>
      </c>
    </row>
    <row r="10">
      <c r="A10" s="348" t="inlineStr">
        <is>
          <t>Known special states</t>
        </is>
      </c>
      <c r="B10" s="348" t="inlineStr">
        <is>
          <t>Review retained</t>
        </is>
      </c>
      <c r="C10" s="348" t="inlineStr">
        <is>
          <t>Florida, Minnesota, Nevada, South Carolina, Tennessee, and West Virginia should remain highlighted in unusual-laws summary.</t>
        </is>
      </c>
      <c r="D10" s="348" t="inlineStr">
        <is>
          <t>Keep unusual-laws report in repo/docs.</t>
        </is>
      </c>
      <c r="E10" s="348" t="inlineStr">
        <is>
          <t>FL; MN; NV; SC; TN; WV</t>
        </is>
      </c>
      <c r="F10" s="348" t="inlineStr">
        <is>
          <t>Official citations</t>
        </is>
      </c>
    </row>
    <row r="11">
      <c r="A11" s="348" t="inlineStr">
        <is>
          <t>Next recommended pass</t>
        </is>
      </c>
      <c r="B11" s="348" t="inlineStr">
        <is>
          <t>Secondary URL replacement</t>
        </is>
      </c>
      <c r="C11" s="348" t="inlineStr">
        <is>
          <t>Prioritize rows using law-firm/legal-summary URLs or commercial mirrors.</t>
        </is>
      </c>
      <c r="D11" s="348" t="inlineStr">
        <is>
          <t>Work through non-government domains in batches.</t>
        </is>
      </c>
      <c r="E11" s="348" t="inlineStr">
        <is>
          <t>GA; KY; MI; NH; PA; RI</t>
        </is>
      </c>
      <c r="F11" s="348" t="inlineStr">
        <is>
          <t>Official/state source preferred</t>
        </is>
      </c>
    </row>
    <row r="12">
      <c r="A12" s="348" t="n"/>
      <c r="B12" s="348" t="n"/>
      <c r="C12" s="348" t="n"/>
      <c r="D12" s="348" t="n"/>
      <c r="E12" s="348" t="n"/>
      <c r="F12" s="348" t="n"/>
    </row>
    <row r="13">
      <c r="A13" s="348" t="n"/>
      <c r="B13" s="348" t="n"/>
      <c r="C13" s="348" t="n"/>
      <c r="D13" s="348" t="n"/>
      <c r="E13" s="348" t="n"/>
      <c r="F13" s="348" t="n"/>
    </row>
    <row r="14">
      <c r="A14" s="348" t="n"/>
      <c r="B14" s="348" t="n"/>
      <c r="C14" s="348" t="n"/>
      <c r="D14" s="348" t="n"/>
      <c r="E14" s="348" t="n"/>
      <c r="F14" s="348" t="n"/>
    </row>
    <row r="15">
      <c r="A15" s="348" t="n"/>
      <c r="B15" s="348" t="n"/>
      <c r="C15" s="348" t="n"/>
      <c r="D15" s="348" t="n"/>
      <c r="E15" s="348" t="n"/>
      <c r="F15" s="348" t="n"/>
    </row>
    <row r="16">
      <c r="A16" s="348" t="n"/>
      <c r="B16" s="348" t="n"/>
      <c r="C16" s="348" t="n"/>
      <c r="D16" s="348" t="n"/>
      <c r="E16" s="348" t="n"/>
      <c r="F16" s="348" t="n"/>
    </row>
    <row r="17">
      <c r="A17" s="348" t="n"/>
      <c r="B17" s="348" t="n"/>
      <c r="C17" s="348" t="n"/>
      <c r="D17" s="348" t="n"/>
      <c r="E17" s="348" t="n"/>
      <c r="F17" s="348" t="n"/>
    </row>
    <row r="18">
      <c r="A18" s="348" t="n"/>
      <c r="B18" s="348" t="n"/>
      <c r="C18" s="348" t="n"/>
      <c r="D18" s="348" t="n"/>
      <c r="E18" s="348" t="n"/>
      <c r="F18" s="348" t="n"/>
    </row>
    <row r="19">
      <c r="A19" s="348" t="n"/>
      <c r="B19" s="348" t="n"/>
      <c r="C19" s="348" t="n"/>
      <c r="D19" s="348" t="n"/>
      <c r="E19" s="348" t="n"/>
      <c r="F19" s="348" t="n"/>
    </row>
    <row r="20">
      <c r="A20" s="348" t="n"/>
      <c r="B20" s="348" t="n"/>
      <c r="C20" s="348" t="n"/>
      <c r="D20" s="348" t="n"/>
      <c r="E20" s="348" t="n"/>
      <c r="F20" s="34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18" customWidth="1" style="355" min="2" max="2"/>
    <col width="18" customWidth="1" style="355" min="3" max="3"/>
    <col width="18" customWidth="1" style="355" min="4" max="4"/>
    <col width="18" customWidth="1" style="355" min="5" max="5"/>
    <col width="18" customWidth="1" style="355" min="6" max="6"/>
    <col width="18" customWidth="1" style="355" min="7" max="7"/>
    <col width="26" customWidth="1" style="355" min="8" max="8"/>
    <col width="42" customWidth="1" style="355" min="9" max="9"/>
    <col width="60" customWidth="1" style="355" min="10" max="10"/>
  </cols>
  <sheetData>
    <row r="1" ht="24" customHeight="1" s="355">
      <c r="A1" s="107" t="inlineStr">
        <is>
          <t>UM/UIM Rules - Phase U6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</row>
    <row r="2" ht="34" customHeight="1" s="355">
      <c r="A2" s="109" t="inlineStr">
        <is>
          <t>Updated 2026-06-06. Phase U6 added the final 15 UM/UIM states while preserving the approved website UI.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</row>
    <row r="3">
      <c r="A3" s="379" t="n"/>
      <c r="B3" s="379" t="n"/>
      <c r="C3" s="379" t="n"/>
      <c r="D3" s="379" t="n"/>
      <c r="E3" s="379" t="n"/>
      <c r="F3" s="379" t="n"/>
      <c r="G3" s="379" t="n"/>
      <c r="H3" s="379" t="n"/>
      <c r="I3" s="379" t="n"/>
      <c r="J3" s="379" t="n"/>
    </row>
    <row r="4" ht="30" customHeight="1" s="355">
      <c r="A4" s="354" t="inlineStr">
        <is>
          <t>State</t>
        </is>
      </c>
      <c r="B4" s="354" t="inlineStr">
        <is>
          <t>UM Required</t>
        </is>
      </c>
      <c r="C4" s="354" t="inlineStr">
        <is>
          <t>UIM Required</t>
        </is>
      </c>
      <c r="D4" s="354" t="inlineStr">
        <is>
          <t>Rejection Allowed</t>
        </is>
      </c>
      <c r="E4" s="354" t="inlineStr">
        <is>
          <t>Written Rejection Required</t>
        </is>
      </c>
      <c r="F4" s="354" t="inlineStr">
        <is>
          <t>Default Limit</t>
        </is>
      </c>
      <c r="G4" s="354" t="inlineStr">
        <is>
          <t>Stacking Allowed</t>
        </is>
      </c>
      <c r="H4" s="354" t="inlineStr">
        <is>
          <t>Citation</t>
        </is>
      </c>
      <c r="I4" s="354" t="inlineStr">
        <is>
          <t>URL</t>
        </is>
      </c>
      <c r="J4" s="354" t="inlineStr">
        <is>
          <t>Notes</t>
        </is>
      </c>
    </row>
    <row r="5" ht="54" customHeight="1" s="355">
      <c r="A5" s="349" t="inlineStr">
        <is>
          <t>Florida</t>
        </is>
      </c>
      <c r="B5" s="349" t="inlineStr">
        <is>
          <t>Yes - unless rejected/lower limits selected</t>
        </is>
      </c>
      <c r="C5" s="349" t="inlineStr">
        <is>
          <t>Included in UM</t>
        </is>
      </c>
      <c r="D5" s="349" t="inlineStr">
        <is>
          <t>Yes</t>
        </is>
      </c>
      <c r="E5" s="349" t="inlineStr">
        <is>
          <t>Yes</t>
        </is>
      </c>
      <c r="F5" s="349" t="inlineStr">
        <is>
          <t>Equal to BI Limits unless valid rejection or lower selection</t>
        </is>
      </c>
      <c r="G5" s="349" t="inlineStr">
        <is>
          <t>Yes; non-stacking requires approved selection</t>
        </is>
      </c>
      <c r="H5" s="349" t="inlineStr">
        <is>
          <t>Fla. Stat. § 627.727</t>
        </is>
      </c>
      <c r="I5" s="349" t="inlineStr">
        <is>
          <t>https://www.leg.state.fl.us/statutes/index.cfm?App_mode=Display_Statute&amp;URL=0600-0699/0627/Sections/0627.727.html</t>
        </is>
      </c>
      <c r="J5" s="349" t="inlineStr">
        <is>
          <t>UM coverage must be provided with limits at least equal to BI liability limits unless the named insured rejects coverage, selects lower limits, or selects non-stacked coverage in writing.</t>
        </is>
      </c>
    </row>
    <row r="6" ht="54" customHeight="1" s="355">
      <c r="A6" s="349" t="inlineStr">
        <is>
          <t>Minnesota</t>
        </is>
      </c>
      <c r="B6" s="349" t="inlineStr">
        <is>
          <t>Yes</t>
        </is>
      </c>
      <c r="C6" s="349" t="inlineStr">
        <is>
          <t>Yes</t>
        </is>
      </c>
      <c r="D6" s="349" t="inlineStr">
        <is>
          <t>No</t>
        </is>
      </c>
      <c r="E6" s="349" t="inlineStr">
        <is>
          <t>N/A</t>
        </is>
      </c>
      <c r="F6" s="349" t="inlineStr">
        <is>
          <t>Statutory Minimum</t>
        </is>
      </c>
      <c r="G6" s="349" t="inlineStr">
        <is>
          <t>Limited</t>
        </is>
      </c>
      <c r="H6" s="349" t="inlineStr">
        <is>
          <t>Minn. Stat. § 65B.49, subd. 3a</t>
        </is>
      </c>
      <c r="I6" s="349" t="inlineStr">
        <is>
          <t>https://www.revisor.mn.gov/statutes/cite/65B.49</t>
        </is>
      </c>
      <c r="J6" s="349" t="inlineStr">
        <is>
          <t>Minnesota requires uninsured and underinsured motorist coverage as part of the No-Fault Act. Minimum UM/UIM limits are set by statute; coverage above BI limits is not required.</t>
        </is>
      </c>
    </row>
    <row r="7" ht="54" customHeight="1" s="355">
      <c r="A7" s="349" t="inlineStr">
        <is>
          <t>Texas</t>
        </is>
      </c>
      <c r="B7" s="349" t="inlineStr">
        <is>
          <t>Yes - unless rejected</t>
        </is>
      </c>
      <c r="C7" s="349" t="inlineStr">
        <is>
          <t>Yes - unless rejected</t>
        </is>
      </c>
      <c r="D7" s="349" t="inlineStr">
        <is>
          <t>Yes</t>
        </is>
      </c>
      <c r="E7" s="349" t="inlineStr">
        <is>
          <t>Yes</t>
        </is>
      </c>
      <c r="F7" s="349" t="inlineStr">
        <is>
          <t>Statutory Minimum unless rejected or higher limits selected</t>
        </is>
      </c>
      <c r="G7" s="349" t="inlineStr">
        <is>
          <t>Conditional</t>
        </is>
      </c>
      <c r="H7" s="349" t="inlineStr">
        <is>
          <t>Tex. Ins. Code §§ 1952.101-1952.110</t>
        </is>
      </c>
      <c r="I7" s="349" t="inlineStr">
        <is>
          <t>https://statutes.capitol.texas.gov/Docs/IN/htm/IN.1952.htm</t>
        </is>
      </c>
      <c r="J7" s="349" t="inlineStr">
        <is>
          <t>UM/UIM coverage must be provided unless the named insured rejects it in writing. Stacking and offsets depend on policy terms and Texas law.</t>
        </is>
      </c>
    </row>
    <row r="8" ht="54" customHeight="1" s="355">
      <c r="A8" s="349" t="inlineStr">
        <is>
          <t>California</t>
        </is>
      </c>
      <c r="B8" s="349" t="inlineStr">
        <is>
          <t>Yes - unless waived</t>
        </is>
      </c>
      <c r="C8" s="349" t="inlineStr">
        <is>
          <t>Included in UM/UIM framework</t>
        </is>
      </c>
      <c r="D8" s="349" t="inlineStr">
        <is>
          <t>Yes</t>
        </is>
      </c>
      <c r="E8" s="349" t="inlineStr">
        <is>
          <t>Yes</t>
        </is>
      </c>
      <c r="F8" s="349" t="inlineStr">
        <is>
          <t>Statutory terms / selected limits</t>
        </is>
      </c>
      <c r="G8" s="349" t="inlineStr">
        <is>
          <t>Limited</t>
        </is>
      </c>
      <c r="H8" s="349" t="inlineStr">
        <is>
          <t>Cal. Ins. Code § 11580.2</t>
        </is>
      </c>
      <c r="I8" s="349" t="inlineStr">
        <is>
          <t>https://leginfo.legislature.ca.gov/faces/codes_displaySection.xhtml?lawCode=INS&amp;sectionNum=11580.2</t>
        </is>
      </c>
      <c r="J8" s="349" t="inlineStr">
        <is>
          <t>California requires uninsured motorist coverage unless waived by written agreement; underinsured motorist procedures are governed within the same statutory section.</t>
        </is>
      </c>
    </row>
    <row r="9" ht="54" customHeight="1" s="355">
      <c r="A9" s="349" t="inlineStr">
        <is>
          <t>New York</t>
        </is>
      </c>
      <c r="B9" s="349" t="inlineStr">
        <is>
          <t>Yes</t>
        </is>
      </c>
      <c r="C9" s="349" t="inlineStr">
        <is>
          <t>Yes - SUM framework</t>
        </is>
      </c>
      <c r="D9" s="349" t="inlineStr">
        <is>
          <t>Yes</t>
        </is>
      </c>
      <c r="E9" s="349" t="inlineStr">
        <is>
          <t>Yes</t>
        </is>
      </c>
      <c r="F9" s="349" t="inlineStr">
        <is>
          <t>Statutory Minimum / selected SUM limits</t>
        </is>
      </c>
      <c r="G9" s="349" t="inlineStr">
        <is>
          <t>Limited</t>
        </is>
      </c>
      <c r="H9" s="349" t="inlineStr">
        <is>
          <t>N.Y. Ins. Law § 3420(f)</t>
        </is>
      </c>
      <c r="I9" s="349" t="inlineStr">
        <is>
          <t>https://www.nysenate.gov/legislation/laws/ISC/3420</t>
        </is>
      </c>
      <c r="J9" s="349" t="inlineStr">
        <is>
          <t>New York requires uninsured motorist protection and governs supplementary uninsured/underinsured motorist coverage through Insurance Law § 3420(f).</t>
        </is>
      </c>
    </row>
    <row r="10" ht="54" customHeight="1" s="355">
      <c r="A10" s="349" t="inlineStr">
        <is>
          <t>Georgia</t>
        </is>
      </c>
      <c r="B10" s="349" t="inlineStr">
        <is>
          <t>Yes - unless rejected</t>
        </is>
      </c>
      <c r="C10" s="349" t="inlineStr">
        <is>
          <t>Included in UM framework</t>
        </is>
      </c>
      <c r="D10" s="349" t="inlineStr">
        <is>
          <t>Yes</t>
        </is>
      </c>
      <c r="E10" s="349" t="inlineStr">
        <is>
          <t>Yes</t>
        </is>
      </c>
      <c r="F10" s="349" t="inlineStr">
        <is>
          <t>Statutory Minimum / selected limits</t>
        </is>
      </c>
      <c r="G10" s="349" t="inlineStr">
        <is>
          <t>Yes / limited by policy and statute</t>
        </is>
      </c>
      <c r="H10" s="349" t="inlineStr">
        <is>
          <t>O.C.G.A. § 33-7-11</t>
        </is>
      </c>
      <c r="I10" s="349" t="inlineStr">
        <is>
          <t>https://law.justia.com/codes/georgia/title-33/chapter-7/section-33-7-11/</t>
        </is>
      </c>
      <c r="J10" s="349" t="inlineStr">
        <is>
          <t>Georgia UM coverage applies unless rejected in writing; coverage may operate as add-on or reduced-by coverage depending on the insured's selection.</t>
        </is>
      </c>
    </row>
    <row r="11" ht="54" customHeight="1" s="355">
      <c r="A11" s="349" t="inlineStr">
        <is>
          <t>North Carolina</t>
        </is>
      </c>
      <c r="B11" s="349" t="inlineStr">
        <is>
          <t>Yes</t>
        </is>
      </c>
      <c r="C11" s="349" t="inlineStr">
        <is>
          <t>Yes</t>
        </is>
      </c>
      <c r="D11" s="349" t="inlineStr">
        <is>
          <t>No</t>
        </is>
      </c>
      <c r="E11" s="349" t="inlineStr">
        <is>
          <t>N/A</t>
        </is>
      </c>
      <c r="F11" s="349" t="inlineStr">
        <is>
          <t>Statutory Minimum / policy-selected limits</t>
        </is>
      </c>
      <c r="G11" s="349" t="inlineStr">
        <is>
          <t>Limited</t>
        </is>
      </c>
      <c r="H11" s="349" t="inlineStr">
        <is>
          <t>N.C. Gen. Stat. § 20-279.21</t>
        </is>
      </c>
      <c r="I11" s="349" t="inlineStr">
        <is>
          <t>https://www.ncleg.gov/EnactedLegislation/Statutes/PDF/BySection/Chapter_20/GS_20-279.21.pdf</t>
        </is>
      </c>
      <c r="J11" s="349" t="inlineStr">
        <is>
          <t>North Carolina requires UM/UIM coverage as part of motor vehicle liability policies under G.S. 20-279.21.</t>
        </is>
      </c>
    </row>
    <row r="12" ht="54" customHeight="1" s="355">
      <c r="A12" s="349" t="inlineStr">
        <is>
          <t>South Carolina</t>
        </is>
      </c>
      <c r="B12" s="349" t="inlineStr">
        <is>
          <t>Yes</t>
        </is>
      </c>
      <c r="C12" s="349" t="inlineStr">
        <is>
          <t>Offered - not mandatory</t>
        </is>
      </c>
      <c r="D12" s="349" t="inlineStr">
        <is>
          <t>Yes for optional UIM</t>
        </is>
      </c>
      <c r="E12" s="349" t="inlineStr">
        <is>
          <t>Yes</t>
        </is>
      </c>
      <c r="F12" s="349" t="inlineStr">
        <is>
          <t>UM at minimum required limits; UIM offered up to liability limits</t>
        </is>
      </c>
      <c r="G12" s="349" t="inlineStr">
        <is>
          <t>Limited</t>
        </is>
      </c>
      <c r="H12" s="349" t="inlineStr">
        <is>
          <t>S.C. Code §§ 38-77-150; 38-77-160</t>
        </is>
      </c>
      <c r="I12" s="349" t="inlineStr">
        <is>
          <t>https://www.scstatehouse.gov/code/t38c077.php</t>
        </is>
      </c>
      <c r="J12" s="349" t="inlineStr">
        <is>
          <t>South Carolina requires uninsured motorist coverage and requires insurers to offer underinsured motorist coverage up to the insured's liability limits.</t>
        </is>
      </c>
    </row>
    <row r="13" ht="54" customHeight="1" s="355">
      <c r="A13" s="349" t="inlineStr">
        <is>
          <t>Pennsylvania</t>
        </is>
      </c>
      <c r="B13" s="349" t="inlineStr">
        <is>
          <t>Offered - may be rejected</t>
        </is>
      </c>
      <c r="C13" s="349" t="inlineStr">
        <is>
          <t>Offered - may be rejected</t>
        </is>
      </c>
      <c r="D13" s="349" t="inlineStr">
        <is>
          <t>Yes</t>
        </is>
      </c>
      <c r="E13" s="349" t="inlineStr">
        <is>
          <t>Yes</t>
        </is>
      </c>
      <c r="F13" s="349" t="inlineStr">
        <is>
          <t>Equal to BI Limits unless rejected or lower limits selected</t>
        </is>
      </c>
      <c r="G13" s="349" t="inlineStr">
        <is>
          <t>Yes unless waived in writing</t>
        </is>
      </c>
      <c r="H13" s="349" t="inlineStr">
        <is>
          <t>75 Pa.C.S. §§ 1731, 1734, 1738</t>
        </is>
      </c>
      <c r="I13" s="349" t="inlineStr">
        <is>
          <t>https://www.legis.state.pa.us/WU01/LI/LI/CT/HTM/75/00.017.031.000..HTM</t>
        </is>
      </c>
      <c r="J13" s="349" t="inlineStr">
        <is>
          <t>Pennsylvania requires insurers to offer UM/UIM coverage. The named insured may reject coverage or select lower limits using statutory procedures; stacking applies unless waived.</t>
        </is>
      </c>
    </row>
    <row r="14" ht="54" customHeight="1" s="355">
      <c r="A14" s="349" t="inlineStr">
        <is>
          <t>Michigan</t>
        </is>
      </c>
      <c r="B14" s="349" t="inlineStr">
        <is>
          <t>No</t>
        </is>
      </c>
      <c r="C14" s="349" t="inlineStr">
        <is>
          <t>No</t>
        </is>
      </c>
      <c r="D14" s="349" t="inlineStr">
        <is>
          <t>N/A</t>
        </is>
      </c>
      <c r="E14" s="349" t="inlineStr">
        <is>
          <t>N/A</t>
        </is>
      </c>
      <c r="F14" s="349" t="inlineStr">
        <is>
          <t>Not Applicable</t>
        </is>
      </c>
      <c r="G14" s="349" t="inlineStr">
        <is>
          <t>Policy-specific</t>
        </is>
      </c>
      <c r="H14" s="349" t="inlineStr">
        <is>
          <t>Michigan DIFS Auto Insurance Guide</t>
        </is>
      </c>
      <c r="I14" s="349" t="inlineStr">
        <is>
          <t>https://www.michigan.gov/difs/consumers/insurance/auto-insurance</t>
        </is>
      </c>
      <c r="J14" s="349" t="inlineStr">
        <is>
          <t>Michigan does not require UM/UIM coverage as mandatory automobile insurance; availability, limits, and stacking depend on policy terms.</t>
        </is>
      </c>
    </row>
    <row r="15" ht="54" customHeight="1" s="355">
      <c r="A15" s="349" t="inlineStr">
        <is>
          <t>Alabama</t>
        </is>
      </c>
      <c r="B15" s="349" t="inlineStr">
        <is>
          <t>Yes</t>
        </is>
      </c>
      <c r="C15" s="349" t="inlineStr">
        <is>
          <t>Included in UM</t>
        </is>
      </c>
      <c r="D15" s="349" t="inlineStr">
        <is>
          <t>Yes</t>
        </is>
      </c>
      <c r="E15" s="349" t="inlineStr">
        <is>
          <t>Yes</t>
        </is>
      </c>
      <c r="F15" s="349" t="inlineStr">
        <is>
          <t>Statutory Minimum</t>
        </is>
      </c>
      <c r="G15" s="349" t="inlineStr">
        <is>
          <t>Limited</t>
        </is>
      </c>
      <c r="H15" s="349" t="inlineStr">
        <is>
          <t>Ala. Code § 32-7-23</t>
        </is>
      </c>
      <c r="I15" s="349" t="inlineStr">
        <is>
          <t>https://alison.legislature.state.al.us/code-of-alabama</t>
        </is>
      </c>
      <c r="J15" s="349" t="inlineStr">
        <is>
          <t>UM coverage must be included unless rejected by the named insured. Alabama treats underinsured exposure within the UM framework and permits limited stacking subject to statute and policy terms.</t>
        </is>
      </c>
    </row>
    <row r="16" ht="54" customHeight="1" s="355">
      <c r="A16" s="110" t="inlineStr">
        <is>
          <t>Alaska</t>
        </is>
      </c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</row>
    <row r="17" ht="54" customHeight="1" s="355">
      <c r="A17" s="349" t="inlineStr">
        <is>
          <t>Arizona</t>
        </is>
      </c>
      <c r="B17" s="349" t="inlineStr">
        <is>
          <t>No</t>
        </is>
      </c>
      <c r="C17" s="349" t="inlineStr">
        <is>
          <t>No</t>
        </is>
      </c>
      <c r="D17" s="349" t="inlineStr">
        <is>
          <t>Yes</t>
        </is>
      </c>
      <c r="E17" s="349" t="inlineStr">
        <is>
          <t>Yes</t>
        </is>
      </c>
      <c r="F17" s="349" t="inlineStr">
        <is>
          <t>Selected Limits</t>
        </is>
      </c>
      <c r="G17" s="349" t="inlineStr">
        <is>
          <t>Conditional</t>
        </is>
      </c>
      <c r="H17" s="349" t="inlineStr">
        <is>
          <t>A.R.S. § 20-259.01</t>
        </is>
      </c>
      <c r="I17" s="349" t="inlineStr">
        <is>
          <t>https://www.azleg.gov/ars/20/00259-01.htm</t>
        </is>
      </c>
      <c r="J17" s="349" t="inlineStr">
        <is>
          <t>Arizona requires insurers to offer UM and UIM coverage, but the coverage is not mandatory if rejected in writing. Available limits and stacking depend on the policy and statutory requirements.</t>
        </is>
      </c>
    </row>
    <row r="18" ht="54" customHeight="1" s="355">
      <c r="A18" s="349" t="inlineStr">
        <is>
          <t>Arkansas</t>
        </is>
      </c>
      <c r="B18" s="349" t="inlineStr">
        <is>
          <t>No</t>
        </is>
      </c>
      <c r="C18" s="349" t="inlineStr">
        <is>
          <t>No</t>
        </is>
      </c>
      <c r="D18" s="349" t="inlineStr">
        <is>
          <t>Yes</t>
        </is>
      </c>
      <c r="E18" s="349" t="inlineStr">
        <is>
          <t>Yes</t>
        </is>
      </c>
      <c r="F18" s="349" t="inlineStr">
        <is>
          <t>Selected Limits</t>
        </is>
      </c>
      <c r="G18" s="349" t="inlineStr">
        <is>
          <t>Limited</t>
        </is>
      </c>
      <c r="H18" s="349" t="inlineStr">
        <is>
          <t>Ark. Code §§ 23-89-403; 23-89-209</t>
        </is>
      </c>
      <c r="I18" s="349" t="inlineStr">
        <is>
          <t>https://www.arkleg.state.ar.us/ArkansasLaw</t>
        </is>
      </c>
      <c r="J18" s="349" t="inlineStr">
        <is>
          <t>Arkansas requires UM coverage to be made available and separately governs UIM coverage, but insureds may reject coverage in writing. Stacking depends on statute and policy language.</t>
        </is>
      </c>
    </row>
    <row r="19" ht="54" customHeight="1" s="355">
      <c r="A19" s="349" t="inlineStr">
        <is>
          <t>Colorado</t>
        </is>
      </c>
      <c r="B19" s="349" t="inlineStr">
        <is>
          <t>Yes</t>
        </is>
      </c>
      <c r="C19" s="349" t="inlineStr">
        <is>
          <t>Included in UM</t>
        </is>
      </c>
      <c r="D19" s="349" t="inlineStr">
        <is>
          <t>Yes</t>
        </is>
      </c>
      <c r="E19" s="349" t="inlineStr">
        <is>
          <t>Yes</t>
        </is>
      </c>
      <c r="F19" s="349" t="inlineStr">
        <is>
          <t>Equal to BI Limits</t>
        </is>
      </c>
      <c r="G19" s="349" t="inlineStr">
        <is>
          <t>Limited</t>
        </is>
      </c>
      <c r="H19" s="349" t="inlineStr">
        <is>
          <t>Colo. Rev. Stat. § 10-4-609</t>
        </is>
      </c>
      <c r="I19" s="349" t="inlineStr">
        <is>
          <t>https://leg.colorado.gov/sites/default/files/images/olls/crs2024-title-10.pdf</t>
        </is>
      </c>
      <c r="J19" s="349" t="inlineStr">
        <is>
          <t>Colorado requires UM/UIM coverage in limits equal to bodily injury liability limits unless the named insured rejects coverage or selects lower limits as permitted by statute.</t>
        </is>
      </c>
    </row>
    <row r="20" ht="54" customHeight="1" s="355">
      <c r="A20" s="349" t="inlineStr">
        <is>
          <t>Connecticut</t>
        </is>
      </c>
      <c r="B20" s="349" t="inlineStr">
        <is>
          <t>Yes</t>
        </is>
      </c>
      <c r="C20" s="349" t="inlineStr">
        <is>
          <t>Yes</t>
        </is>
      </c>
      <c r="D20" s="349" t="inlineStr">
        <is>
          <t>No</t>
        </is>
      </c>
      <c r="E20" s="349" t="inlineStr">
        <is>
          <t>No</t>
        </is>
      </c>
      <c r="F20" s="349" t="inlineStr">
        <is>
          <t>Equal to BI Limits</t>
        </is>
      </c>
      <c r="G20" s="349" t="inlineStr">
        <is>
          <t>Limited</t>
        </is>
      </c>
      <c r="H20" s="349" t="inlineStr">
        <is>
          <t>Conn. Gen. Stat. § 38a-336</t>
        </is>
      </c>
      <c r="I20" s="349" t="inlineStr">
        <is>
          <t>https://www.cga.ct.gov/current/pub/chap_700.htm#sec_38a-336</t>
        </is>
      </c>
      <c r="J20" s="349" t="inlineStr">
        <is>
          <t>Connecticut requires UM/UIM coverage. The insured may elect reduced limits under statutory procedures, but the coverage is not treated as a simple full rejection item.</t>
        </is>
      </c>
    </row>
    <row r="21" ht="54" customHeight="1" s="355">
      <c r="A21" s="349" t="inlineStr">
        <is>
          <t>Delaware</t>
        </is>
      </c>
      <c r="B21" s="349" t="inlineStr">
        <is>
          <t>No</t>
        </is>
      </c>
      <c r="C21" s="349" t="inlineStr">
        <is>
          <t>No</t>
        </is>
      </c>
      <c r="D21" s="349" t="inlineStr">
        <is>
          <t>Yes</t>
        </is>
      </c>
      <c r="E21" s="349" t="inlineStr">
        <is>
          <t>Yes</t>
        </is>
      </c>
      <c r="F21" s="349" t="inlineStr">
        <is>
          <t>Selected Limits</t>
        </is>
      </c>
      <c r="G21" s="349" t="inlineStr">
        <is>
          <t>Limited</t>
        </is>
      </c>
      <c r="H21" s="349" t="inlineStr">
        <is>
          <t>18 Del. C. § 3902</t>
        </is>
      </c>
      <c r="I21" s="349" t="inlineStr">
        <is>
          <t>https://delcode.delaware.gov/title18/c039/</t>
        </is>
      </c>
      <c r="J21" s="349" t="inlineStr">
        <is>
          <t>Delaware requires insurers to offer UM/UIM coverage, but the insured may reject or select coverage under statutory procedures. Available limits are based on statutory offer requirements and policy selection.</t>
        </is>
      </c>
    </row>
    <row r="22" ht="54" customHeight="1" s="355">
      <c r="A22" s="349" t="inlineStr">
        <is>
          <t>Hawaii</t>
        </is>
      </c>
      <c r="B22" s="349" t="inlineStr">
        <is>
          <t>No</t>
        </is>
      </c>
      <c r="C22" s="349" t="inlineStr">
        <is>
          <t>No</t>
        </is>
      </c>
      <c r="D22" s="349" t="inlineStr">
        <is>
          <t>Yes</t>
        </is>
      </c>
      <c r="E22" s="349" t="inlineStr">
        <is>
          <t>Yes</t>
        </is>
      </c>
      <c r="F22" s="349" t="inlineStr">
        <is>
          <t>Selected Limits</t>
        </is>
      </c>
      <c r="G22" s="349" t="inlineStr">
        <is>
          <t>Conditional</t>
        </is>
      </c>
      <c r="H22" s="349" t="inlineStr">
        <is>
          <t>Haw. Rev. Stat. § 431:10C-301</t>
        </is>
      </c>
      <c r="I22" s="349" t="inlineStr">
        <is>
          <t>https://www.capitol.hawaii.gov/hrscurrent/Vol09_Ch0431-0435H/HRS0431/HRS_0431-0010C-0301.htm</t>
        </is>
      </c>
      <c r="J22" s="349" t="inlineStr">
        <is>
          <t>Hawaii requires insurers to offer UM and UIM coverage and stacking options, but coverage is not mandatory if rejected or not selected under statutory procedures.</t>
        </is>
      </c>
    </row>
    <row r="23" ht="54" customHeight="1" s="355">
      <c r="A23" s="349" t="inlineStr">
        <is>
          <t>Idaho</t>
        </is>
      </c>
      <c r="B23" s="349" t="inlineStr">
        <is>
          <t>Yes</t>
        </is>
      </c>
      <c r="C23" s="349" t="inlineStr">
        <is>
          <t>Yes</t>
        </is>
      </c>
      <c r="D23" s="349" t="inlineStr">
        <is>
          <t>Yes</t>
        </is>
      </c>
      <c r="E23" s="349" t="inlineStr">
        <is>
          <t>Yes</t>
        </is>
      </c>
      <c r="F23" s="349" t="inlineStr">
        <is>
          <t>Equal to BI Limits</t>
        </is>
      </c>
      <c r="G23" s="349" t="inlineStr">
        <is>
          <t>Limited</t>
        </is>
      </c>
      <c r="H23" s="349" t="inlineStr">
        <is>
          <t>Idaho Code § 41-2502</t>
        </is>
      </c>
      <c r="I23" s="349" t="inlineStr">
        <is>
          <t>https://legislature.idaho.gov/statutesrules/idstat/title41/t41ch25/sect41-2502/</t>
        </is>
      </c>
      <c r="J23" s="349" t="inlineStr">
        <is>
          <t>Idaho requires UM/UIM coverage to be included unless the named insured rejects coverage in writing. Limits generally track liability limits unless changed under statute and policy terms.</t>
        </is>
      </c>
    </row>
    <row r="24" ht="54" customHeight="1" s="355">
      <c r="A24" s="349" t="inlineStr">
        <is>
          <t>Illinois</t>
        </is>
      </c>
      <c r="B24" s="349" t="inlineStr">
        <is>
          <t>Yes</t>
        </is>
      </c>
      <c r="C24" s="349" t="inlineStr">
        <is>
          <t>Yes</t>
        </is>
      </c>
      <c r="D24" s="349" t="inlineStr">
        <is>
          <t>No</t>
        </is>
      </c>
      <c r="E24" s="349" t="inlineStr">
        <is>
          <t>No</t>
        </is>
      </c>
      <c r="F24" s="349" t="inlineStr">
        <is>
          <t>Statutory Minimum</t>
        </is>
      </c>
      <c r="G24" s="349" t="inlineStr">
        <is>
          <t>No</t>
        </is>
      </c>
      <c r="H24" s="349" t="inlineStr">
        <is>
          <t>215 ILCS 5/143a; 215 ILCS 5/143a-2</t>
        </is>
      </c>
      <c r="I24" s="349" t="inlineStr">
        <is>
          <t>https://www.ilga.gov/legislation/ilcs/ilcs3.asp?ActID=1249&amp;ChapterID=22</t>
        </is>
      </c>
      <c r="J24" s="349" t="inlineStr">
        <is>
          <t>Illinois requires UM bodily injury coverage at minimum limits and governs UIM coverage when UM limits exceed statutory minimums. Anti-stacking provisions are generally enforceable.</t>
        </is>
      </c>
    </row>
    <row r="25" ht="54" customHeight="1" s="355">
      <c r="A25" s="349" t="inlineStr">
        <is>
          <t>Indiana</t>
        </is>
      </c>
      <c r="B25" s="349" t="inlineStr">
        <is>
          <t>Yes</t>
        </is>
      </c>
      <c r="C25" s="349" t="inlineStr">
        <is>
          <t>Yes</t>
        </is>
      </c>
      <c r="D25" s="349" t="inlineStr">
        <is>
          <t>Yes</t>
        </is>
      </c>
      <c r="E25" s="349" t="inlineStr">
        <is>
          <t>Yes</t>
        </is>
      </c>
      <c r="F25" s="349" t="inlineStr">
        <is>
          <t>Equal to BI Limits</t>
        </is>
      </c>
      <c r="G25" s="349" t="inlineStr">
        <is>
          <t>Conditional</t>
        </is>
      </c>
      <c r="H25" s="349" t="inlineStr">
        <is>
          <t>Ind. Code § 27-7-5-2</t>
        </is>
      </c>
      <c r="I25" s="349" t="inlineStr">
        <is>
          <t>https://iga.in.gov/laws/2025/ic/titles/27#27-7-5-2</t>
        </is>
      </c>
      <c r="J25" s="349" t="inlineStr">
        <is>
          <t>Indiana requires UM/UIM coverage to be provided with automobile liability policies unless rejected in writing. Stacking and setoff treatment are controlled by statute and policy terms.</t>
        </is>
      </c>
    </row>
    <row r="26" ht="54" customHeight="1" s="355">
      <c r="A26" s="349" t="inlineStr">
        <is>
          <t>Iowa</t>
        </is>
      </c>
      <c r="B26" s="349" t="inlineStr">
        <is>
          <t>Yes</t>
        </is>
      </c>
      <c r="C26" s="349" t="inlineStr">
        <is>
          <t>Yes</t>
        </is>
      </c>
      <c r="D26" s="349" t="inlineStr">
        <is>
          <t>Yes</t>
        </is>
      </c>
      <c r="E26" s="349" t="inlineStr">
        <is>
          <t>Yes</t>
        </is>
      </c>
      <c r="F26" s="349" t="inlineStr">
        <is>
          <t>Statutory Minimum</t>
        </is>
      </c>
      <c r="G26" s="349" t="inlineStr">
        <is>
          <t>Limited</t>
        </is>
      </c>
      <c r="H26" s="349" t="inlineStr">
        <is>
          <t>Iowa Code §§ 516A.1; 516A.2</t>
        </is>
      </c>
      <c r="I26" s="349" t="inlineStr">
        <is>
          <t>https://www.legis.iowa.gov/docs/code/516A.1.pdf</t>
        </is>
      </c>
      <c r="J26" s="349" t="inlineStr">
        <is>
          <t>Iowa requires UM, underinsured, and hit-and-run coverage unless rejected in writing. Limits and stacking are controlled by the statute and policy language.</t>
        </is>
      </c>
    </row>
    <row r="27" ht="54" customHeight="1" s="355">
      <c r="A27" s="349" t="inlineStr">
        <is>
          <t>Kansas</t>
        </is>
      </c>
      <c r="B27" s="349" t="inlineStr">
        <is>
          <t>Yes</t>
        </is>
      </c>
      <c r="C27" s="349" t="inlineStr">
        <is>
          <t>Included in UM</t>
        </is>
      </c>
      <c r="D27" s="349" t="inlineStr">
        <is>
          <t>Yes</t>
        </is>
      </c>
      <c r="E27" s="349" t="inlineStr">
        <is>
          <t>Yes</t>
        </is>
      </c>
      <c r="F27" s="349" t="inlineStr">
        <is>
          <t>Equal to BI Limits</t>
        </is>
      </c>
      <c r="G27" s="349" t="inlineStr">
        <is>
          <t>Limited</t>
        </is>
      </c>
      <c r="H27" s="349" t="inlineStr">
        <is>
          <t>K.S.A. § 40-284</t>
        </is>
      </c>
      <c r="I27" s="349" t="inlineStr">
        <is>
          <t>https://ksrevisor.gov/statutes/chapters/ch40/040_002_0084.html</t>
        </is>
      </c>
      <c r="J27" s="349" t="inlineStr">
        <is>
          <t>Kansas requires UM coverage including underinsured motorist protection. Coverage above statutory minimum financial-responsibility limits may be rejected in writing.</t>
        </is>
      </c>
    </row>
    <row r="28" ht="54" customHeight="1" s="355">
      <c r="A28" s="349" t="inlineStr">
        <is>
          <t>Kentucky</t>
        </is>
      </c>
      <c r="B28" s="349" t="inlineStr">
        <is>
          <t>No</t>
        </is>
      </c>
      <c r="C28" s="349" t="inlineStr">
        <is>
          <t>No</t>
        </is>
      </c>
      <c r="D28" s="349" t="inlineStr">
        <is>
          <t>Yes</t>
        </is>
      </c>
      <c r="E28" s="349" t="inlineStr">
        <is>
          <t>Yes</t>
        </is>
      </c>
      <c r="F28" s="349" t="inlineStr">
        <is>
          <t>Selected Limits</t>
        </is>
      </c>
      <c r="G28" s="349" t="inlineStr">
        <is>
          <t>Limited</t>
        </is>
      </c>
      <c r="H28" s="349" t="inlineStr">
        <is>
          <t>KRS §§ 304.20-020; 304.39-320</t>
        </is>
      </c>
      <c r="I28" s="349" t="inlineStr">
        <is>
          <t>https://apps.legislature.ky.gov/law/statutes/statute.aspx?id=45815</t>
        </is>
      </c>
      <c r="J28" s="349" t="inlineStr">
        <is>
          <t>Kentucky requires UM coverage to be offered and allows rejection. UIM coverage is available by request/selection rather than a universal mandatory coverage.</t>
        </is>
      </c>
    </row>
    <row r="29" ht="54" customHeight="1" s="355">
      <c r="A29" s="349" t="inlineStr">
        <is>
          <t>Louisiana</t>
        </is>
      </c>
      <c r="B29" s="349" t="inlineStr">
        <is>
          <t>Yes</t>
        </is>
      </c>
      <c r="C29" s="349" t="inlineStr">
        <is>
          <t>Included in UM</t>
        </is>
      </c>
      <c r="D29" s="349" t="inlineStr">
        <is>
          <t>Yes</t>
        </is>
      </c>
      <c r="E29" s="349" t="inlineStr">
        <is>
          <t>Yes</t>
        </is>
      </c>
      <c r="F29" s="349" t="inlineStr">
        <is>
          <t>Equal to BI Limits</t>
        </is>
      </c>
      <c r="G29" s="349" t="inlineStr">
        <is>
          <t>Limited</t>
        </is>
      </c>
      <c r="H29" s="349" t="inlineStr">
        <is>
          <t>La. R.S. § 22:1295</t>
        </is>
      </c>
      <c r="I29" s="349" t="inlineStr">
        <is>
          <t>https://legis.la.gov/legis/Law.aspx?d=508161</t>
        </is>
      </c>
      <c r="J29" s="349" t="inlineStr">
        <is>
          <t>Louisiana requires UM coverage in limits not less than bodily injury liability limits unless the insured validly rejects coverage, selects lower limits, or chooses economic-only coverage on the approved form.</t>
        </is>
      </c>
    </row>
    <row r="30" ht="54" customHeight="1" s="355">
      <c r="A30" s="349" t="inlineStr">
        <is>
          <t>Maine</t>
        </is>
      </c>
      <c r="B30" s="349" t="inlineStr">
        <is>
          <t>Yes</t>
        </is>
      </c>
      <c r="C30" s="349" t="inlineStr">
        <is>
          <t>Included in UM framework</t>
        </is>
      </c>
      <c r="D30" s="349" t="inlineStr">
        <is>
          <t>Limited lower-limit election</t>
        </is>
      </c>
      <c r="E30" s="349" t="inlineStr">
        <is>
          <t>Yes for lower-limit election</t>
        </is>
      </c>
      <c r="F30" s="349" t="inlineStr">
        <is>
          <t>Statutory Minimum / selected limits</t>
        </is>
      </c>
      <c r="G30" s="349" t="inlineStr">
        <is>
          <t>Limited</t>
        </is>
      </c>
      <c r="H30" s="349" t="inlineStr">
        <is>
          <t>24-A M.R.S. § 2902</t>
        </is>
      </c>
      <c r="I30" s="349" t="inlineStr">
        <is>
          <t>https://legislature.maine.gov/statutes/24-a/title24-Asec2902.html</t>
        </is>
      </c>
      <c r="J30" s="349" t="inlineStr">
        <is>
          <t>Maine requires uninsured motor vehicle coverage and permits a written election of lower limits under statutory procedures.</t>
        </is>
      </c>
    </row>
    <row r="31" ht="54" customHeight="1" s="355">
      <c r="A31" s="349" t="inlineStr">
        <is>
          <t>Maryland</t>
        </is>
      </c>
      <c r="B31" s="349" t="inlineStr">
        <is>
          <t>Yes</t>
        </is>
      </c>
      <c r="C31" s="349" t="inlineStr">
        <is>
          <t>Included in UM definition / enhanced UIM available</t>
        </is>
      </c>
      <c r="D31" s="349" t="inlineStr">
        <is>
          <t>Limited waiver of equal limits</t>
        </is>
      </c>
      <c r="E31" s="349" t="inlineStr">
        <is>
          <t>Yes</t>
        </is>
      </c>
      <c r="F31" s="349" t="inlineStr">
        <is>
          <t>Equal to Liability Limits unless affirmatively waived to lower permissible limits</t>
        </is>
      </c>
      <c r="G31" s="349" t="inlineStr">
        <is>
          <t>Limited</t>
        </is>
      </c>
      <c r="H31" s="349" t="inlineStr">
        <is>
          <t>Md. Code, Ins. §§ 19-509, 19-510</t>
        </is>
      </c>
      <c r="I31" s="349" t="inlineStr">
        <is>
          <t>https://mgaleg.maryland.gov/mgawebsite/Laws/StatuteText?article=gin&amp;section=19-509</t>
        </is>
      </c>
      <c r="J31" s="349" t="inlineStr">
        <is>
          <t>Maryland requires uninsured motorist coverage, including underinsured treatment within the statutory definition. Equal-limits treatment may be waived under statutory procedures.</t>
        </is>
      </c>
    </row>
    <row r="32" ht="54" customHeight="1" s="355">
      <c r="A32" s="349" t="inlineStr">
        <is>
          <t>Massachusetts</t>
        </is>
      </c>
      <c r="B32" s="349" t="inlineStr">
        <is>
          <t>Yes</t>
        </is>
      </c>
      <c r="C32" s="349" t="inlineStr">
        <is>
          <t>Offered / optional underinsured coverage</t>
        </is>
      </c>
      <c r="D32" s="349" t="inlineStr">
        <is>
          <t>No for compulsory UM; optional UIM may be selected</t>
        </is>
      </c>
      <c r="E32" s="349" t="inlineStr">
        <is>
          <t>N/A</t>
        </is>
      </c>
      <c r="F32" s="349" t="inlineStr">
        <is>
          <t>Compulsory UM minimum; optional limits by selection</t>
        </is>
      </c>
      <c r="G32" s="349" t="inlineStr">
        <is>
          <t>Limited / policy-specific</t>
        </is>
      </c>
      <c r="H32" s="349" t="inlineStr">
        <is>
          <t>Mass. Gen. Laws ch. 175, § 113L</t>
        </is>
      </c>
      <c r="I32" s="349" t="inlineStr">
        <is>
          <t>https://malegislature.gov/Laws/GeneralLaws/PartI/TitleXXII/Chapter175/Section113L</t>
        </is>
      </c>
      <c r="J32" s="349" t="inlineStr">
        <is>
          <t>Massachusetts requires compulsory uninsured motorist coverage. Underinsured motorist coverage is generally optional/selected rather than part of the compulsory minimum coverage.</t>
        </is>
      </c>
    </row>
    <row r="33" ht="54" customHeight="1" s="355">
      <c r="A33" s="349" t="inlineStr">
        <is>
          <t>Mississippi</t>
        </is>
      </c>
      <c r="B33" s="349" t="inlineStr">
        <is>
          <t>Yes - unless rejected</t>
        </is>
      </c>
      <c r="C33" s="349" t="inlineStr">
        <is>
          <t>Included in UM framework</t>
        </is>
      </c>
      <c r="D33" s="349" t="inlineStr">
        <is>
          <t>Yes</t>
        </is>
      </c>
      <c r="E33" s="349" t="inlineStr">
        <is>
          <t>Yes</t>
        </is>
      </c>
      <c r="F33" s="349" t="inlineStr">
        <is>
          <t>Statutory Minimum unless rejected or different limits selected</t>
        </is>
      </c>
      <c r="G33" s="349" t="inlineStr">
        <is>
          <t>Yes</t>
        </is>
      </c>
      <c r="H33" s="349" t="inlineStr">
        <is>
          <t>Miss. Code Ann. § 83-11-101</t>
        </is>
      </c>
      <c r="I33" s="349" t="inlineStr">
        <is>
          <t>https://law.justia.com/codes/mississippi/title-83/chapter-11/article-3/section-83-11-101/</t>
        </is>
      </c>
      <c r="J33" s="349" t="inlineStr">
        <is>
          <t>Mississippi requires automobile liability policies to contain UM coverage unless rejected by the insured. Mississippi is commonly treated as a stacking-friendly UM jurisdiction subject to statutory and policy limits.</t>
        </is>
      </c>
    </row>
    <row r="34" ht="54" customHeight="1" s="355">
      <c r="A34" s="349" t="inlineStr">
        <is>
          <t>Missouri</t>
        </is>
      </c>
      <c r="B34" s="349" t="inlineStr">
        <is>
          <t>Yes</t>
        </is>
      </c>
      <c r="C34" s="349" t="inlineStr">
        <is>
          <t>No - optional / policy-specific</t>
        </is>
      </c>
      <c r="D34" s="349" t="inlineStr">
        <is>
          <t>No for UM</t>
        </is>
      </c>
      <c r="E34" s="349" t="inlineStr">
        <is>
          <t>N/A</t>
        </is>
      </c>
      <c r="F34" s="349" t="inlineStr">
        <is>
          <t>Statutory Minimum</t>
        </is>
      </c>
      <c r="G34" s="349" t="inlineStr">
        <is>
          <t>Yes for UM / policy-specific for UIM</t>
        </is>
      </c>
      <c r="H34" s="349" t="inlineStr">
        <is>
          <t>RSMo § 379.203</t>
        </is>
      </c>
      <c r="I34" s="349" t="inlineStr">
        <is>
          <t>https://revisor.mo.gov/main/OneSection.aspx?section=379.203</t>
        </is>
      </c>
      <c r="J34" s="349" t="inlineStr">
        <is>
          <t>Missouri requires uninsured motorist coverage in automobile liability policies. Underinsured motorist coverage is not mandated by the same statute and generally depends on the policy.</t>
        </is>
      </c>
    </row>
    <row r="35" ht="54" customHeight="1" s="355">
      <c r="A35" s="349" t="inlineStr">
        <is>
          <t>Montana</t>
        </is>
      </c>
      <c r="B35" s="349" t="inlineStr">
        <is>
          <t>Yes - unless rejected</t>
        </is>
      </c>
      <c r="C35" s="349" t="inlineStr">
        <is>
          <t>No - optional / policy-specific</t>
        </is>
      </c>
      <c r="D35" s="349" t="inlineStr">
        <is>
          <t>Yes</t>
        </is>
      </c>
      <c r="E35" s="349" t="inlineStr">
        <is>
          <t>Yes</t>
        </is>
      </c>
      <c r="F35" s="349" t="inlineStr">
        <is>
          <t>Statutory Minimum unless rejected or higher limits selected</t>
        </is>
      </c>
      <c r="G35" s="349" t="inlineStr">
        <is>
          <t>Limited / policy-specific</t>
        </is>
      </c>
      <c r="H35" s="349" t="inlineStr">
        <is>
          <t>Mont. Code Ann. § 33-23-201</t>
        </is>
      </c>
      <c r="I35" s="349" t="inlineStr">
        <is>
          <t>https://leg.mt.gov/bills/mca/title_0330/chapter_0230/part_0020/section_0010/0330-0230-0020-0010.html</t>
        </is>
      </c>
      <c r="J35" s="349" t="inlineStr">
        <is>
          <t>Montana requires UM coverage to be included unless rejected by the named insured. UIM coverage is generally optional or policy-specific rather than a separate mandatory coverage.</t>
        </is>
      </c>
    </row>
    <row r="36" ht="54" customHeight="1" s="355">
      <c r="A36" s="349" t="inlineStr">
        <is>
          <t>Nebraska</t>
        </is>
      </c>
      <c r="B36" s="349" t="inlineStr">
        <is>
          <t>Yes</t>
        </is>
      </c>
      <c r="C36" s="349" t="inlineStr">
        <is>
          <t>Yes</t>
        </is>
      </c>
      <c r="D36" s="349" t="inlineStr">
        <is>
          <t>No</t>
        </is>
      </c>
      <c r="E36" s="349" t="inlineStr">
        <is>
          <t>N/A</t>
        </is>
      </c>
      <c r="F36" s="349" t="inlineStr">
        <is>
          <t>Statutory Minimum</t>
        </is>
      </c>
      <c r="G36" s="349" t="inlineStr">
        <is>
          <t>Limited</t>
        </is>
      </c>
      <c r="H36" s="349" t="inlineStr">
        <is>
          <t>Neb. Rev. Stat. § 44-6408</t>
        </is>
      </c>
      <c r="I36" s="349" t="inlineStr">
        <is>
          <t>https://nebraskalegislature.gov/laws/statutes.php?statute=44-6408</t>
        </is>
      </c>
      <c r="J36" s="349" t="inlineStr">
        <is>
          <t>Nebraska requires uninsured and underinsured motorist coverage under the Uninsured and Underinsured Motorist Insurance Coverage Act.</t>
        </is>
      </c>
    </row>
    <row r="37" ht="54" customHeight="1" s="355">
      <c r="A37" s="349" t="inlineStr">
        <is>
          <t>Nevada</t>
        </is>
      </c>
      <c r="B37" s="349" t="inlineStr">
        <is>
          <t>Offered - may be rejected</t>
        </is>
      </c>
      <c r="C37" s="349" t="inlineStr">
        <is>
          <t>Included in UM/UIM offer</t>
        </is>
      </c>
      <c r="D37" s="349" t="inlineStr">
        <is>
          <t>Yes</t>
        </is>
      </c>
      <c r="E37" s="349" t="inlineStr">
        <is>
          <t>Yes</t>
        </is>
      </c>
      <c r="F37" s="349" t="inlineStr">
        <is>
          <t>Offered equal to BI liability limits</t>
        </is>
      </c>
      <c r="G37" s="349" t="inlineStr">
        <is>
          <t>Limited / policy-specific</t>
        </is>
      </c>
      <c r="H37" s="349" t="inlineStr">
        <is>
          <t>NRS § 687B.145</t>
        </is>
      </c>
      <c r="I37" s="349" t="inlineStr">
        <is>
          <t>https://www.leg.state.nv.us/nrs/NRS-687B.html#NRS687BSec145</t>
        </is>
      </c>
      <c r="J37" s="349" t="inlineStr">
        <is>
          <t>Nevada requires insurers to offer UM/UIM coverage in an amount equal to BI liability limits; coverage may be rejected and stacking is limited by statutory/policy requirements.</t>
        </is>
      </c>
    </row>
    <row r="38" ht="54" customHeight="1" s="355">
      <c r="A38" s="349" t="inlineStr">
        <is>
          <t>New Hampshire</t>
        </is>
      </c>
      <c r="B38" s="349" t="inlineStr">
        <is>
          <t>Yes when auto liability policy issued</t>
        </is>
      </c>
      <c r="C38" s="349" t="inlineStr">
        <is>
          <t>Included in UM framework</t>
        </is>
      </c>
      <c r="D38" s="349" t="inlineStr">
        <is>
          <t>No</t>
        </is>
      </c>
      <c r="E38" s="349" t="inlineStr">
        <is>
          <t>N/A</t>
        </is>
      </c>
      <c r="F38" s="349" t="inlineStr">
        <is>
          <t>Equal to liability coverage / statutory minimum framework</t>
        </is>
      </c>
      <c r="G38" s="349" t="inlineStr">
        <is>
          <t>Limited</t>
        </is>
      </c>
      <c r="H38" s="349" t="inlineStr">
        <is>
          <t>N.H. Rev. Stat. § 264:15</t>
        </is>
      </c>
      <c r="I38" s="349" t="inlineStr">
        <is>
          <t>https://www.gencourt.state.nh.us/rsa/html/XXI/264/264-15.htm</t>
        </is>
      </c>
      <c r="J38" s="349" t="inlineStr">
        <is>
          <t>New Hampshire requires UM coverage when a motor vehicle liability policy is issued, with coverage tied to the policy's liability limits and statutory requirements.</t>
        </is>
      </c>
    </row>
    <row r="39" ht="54" customHeight="1" s="355">
      <c r="A39" s="349" t="inlineStr">
        <is>
          <t>New Jersey</t>
        </is>
      </c>
      <c r="B39" s="349" t="inlineStr">
        <is>
          <t>Yes</t>
        </is>
      </c>
      <c r="C39" s="349" t="inlineStr">
        <is>
          <t>Offered / optional above required framework</t>
        </is>
      </c>
      <c r="D39" s="349" t="inlineStr">
        <is>
          <t>Limited</t>
        </is>
      </c>
      <c r="E39" s="349" t="inlineStr">
        <is>
          <t>Yes for lower/optional selections</t>
        </is>
      </c>
      <c r="F39" s="349" t="inlineStr">
        <is>
          <t>Statutory Minimum / selected limits</t>
        </is>
      </c>
      <c r="G39" s="349" t="inlineStr">
        <is>
          <t>Limited</t>
        </is>
      </c>
      <c r="H39" s="349" t="inlineStr">
        <is>
          <t>N.J. Stat. § 17:28-1.1</t>
        </is>
      </c>
      <c r="I39" s="349" t="inlineStr">
        <is>
          <t>https://pub.njleg.state.nj.us/Bills/2018/PL19/214_.HTM</t>
        </is>
      </c>
      <c r="J39" s="349" t="inlineStr">
        <is>
          <t>New Jersey requires uninsured motorist coverage and governs optional underinsured motorist coverage through statutory automobile insurance requirements and available policy selections.</t>
        </is>
      </c>
    </row>
    <row r="40">
      <c r="A40" s="348" t="inlineStr">
        <is>
          <t>New Mexico</t>
        </is>
      </c>
      <c r="B40" s="348" t="inlineStr">
        <is>
          <t>Yes</t>
        </is>
      </c>
      <c r="C40" s="348" t="inlineStr">
        <is>
          <t>Included in UM</t>
        </is>
      </c>
      <c r="D40" s="348" t="inlineStr">
        <is>
          <t>Yes</t>
        </is>
      </c>
      <c r="E40" s="348" t="inlineStr">
        <is>
          <t>Yes</t>
        </is>
      </c>
      <c r="F40" s="348" t="inlineStr">
        <is>
          <t>Equal to BI Limits unless valid rejection/lower selection</t>
        </is>
      </c>
      <c r="G40" s="348" t="inlineStr">
        <is>
          <t>Limited</t>
        </is>
      </c>
      <c r="H40" s="348" t="inlineStr">
        <is>
          <t>N.M. Stat. § 66-5-301</t>
        </is>
      </c>
      <c r="I40" s="348" t="inlineStr">
        <is>
          <t>https://www.nmlegis.gov/Sessions/25%20Regular/bills/house/HB0097TPS.HTML</t>
        </is>
      </c>
      <c r="J40" s="348" t="inlineStr">
        <is>
          <t>New Mexico requires UM coverage to be included unless rejected; UM coverage includes underinsured motorist coverage. Rejection must be knowing and documented.</t>
        </is>
      </c>
    </row>
    <row r="41">
      <c r="A41" s="348" t="inlineStr">
        <is>
          <t>North Dakota</t>
        </is>
      </c>
      <c r="B41" s="348" t="inlineStr">
        <is>
          <t>Yes</t>
        </is>
      </c>
      <c r="C41" s="348" t="inlineStr">
        <is>
          <t>Yes</t>
        </is>
      </c>
      <c r="D41" s="348" t="inlineStr">
        <is>
          <t>No</t>
        </is>
      </c>
      <c r="E41" s="348" t="inlineStr">
        <is>
          <t>N/A</t>
        </is>
      </c>
      <c r="F41" s="348" t="inlineStr">
        <is>
          <t>Statutory Minimum; UIM equal to UM</t>
        </is>
      </c>
      <c r="G41" s="348" t="inlineStr">
        <is>
          <t>No</t>
        </is>
      </c>
      <c r="H41" s="348" t="inlineStr">
        <is>
          <t>N.D.C.C. §§ 26.1-40-15.1 to 26.1-40-15.7</t>
        </is>
      </c>
      <c r="I41" s="348" t="inlineStr">
        <is>
          <t>https://ndlegis.gov/cencode/t26-1c40.pdf</t>
        </is>
      </c>
      <c r="J41" s="348" t="inlineStr">
        <is>
          <t>North Dakota requires UM and UIM coverage; the Insurance Department lists UM at 25/50 and UIM equal to UM. Stacking is generally not permitted.</t>
        </is>
      </c>
    </row>
    <row r="42">
      <c r="A42" s="348" t="inlineStr">
        <is>
          <t>Ohio</t>
        </is>
      </c>
      <c r="B42" s="348" t="inlineStr">
        <is>
          <t>No</t>
        </is>
      </c>
      <c r="C42" s="348" t="inlineStr">
        <is>
          <t>No</t>
        </is>
      </c>
      <c r="D42" s="348" t="inlineStr">
        <is>
          <t>N/A</t>
        </is>
      </c>
      <c r="E42" s="348" t="inlineStr">
        <is>
          <t>N/A</t>
        </is>
      </c>
      <c r="F42" s="348" t="inlineStr">
        <is>
          <t>Not Applicable</t>
        </is>
      </c>
      <c r="G42" s="348" t="inlineStr">
        <is>
          <t>Policy-specific</t>
        </is>
      </c>
      <c r="H42" s="348" t="inlineStr">
        <is>
          <t>Ohio Rev. Code § 3937.18</t>
        </is>
      </c>
      <c r="I42" s="348" t="inlineStr">
        <is>
          <t>https://codes.ohio.gov/ohio-revised-code/section-3937.18</t>
        </is>
      </c>
      <c r="J42" s="348" t="inlineStr">
        <is>
          <t>Ohio law governs UM/UIM coverage when provided, but coverage is not generally mandatory for private passenger auto policies.</t>
        </is>
      </c>
    </row>
    <row r="43">
      <c r="A43" s="348" t="inlineStr">
        <is>
          <t>Oklahoma</t>
        </is>
      </c>
      <c r="B43" s="348" t="inlineStr">
        <is>
          <t>Yes</t>
        </is>
      </c>
      <c r="C43" s="348" t="inlineStr">
        <is>
          <t>Included in UM</t>
        </is>
      </c>
      <c r="D43" s="348" t="inlineStr">
        <is>
          <t>Yes</t>
        </is>
      </c>
      <c r="E43" s="348" t="inlineStr">
        <is>
          <t>Yes</t>
        </is>
      </c>
      <c r="F43" s="348" t="inlineStr">
        <is>
          <t>Statutory Minimum / selected limits</t>
        </is>
      </c>
      <c r="G43" s="348" t="inlineStr">
        <is>
          <t>Yes</t>
        </is>
      </c>
      <c r="H43" s="348" t="inlineStr">
        <is>
          <t>36 O.S. § 3636</t>
        </is>
      </c>
      <c r="I43" s="348" t="inlineStr">
        <is>
          <t>https://law.justia.com/codes/oklahoma/title-36/section-36-3636/</t>
        </is>
      </c>
      <c r="J43" s="348" t="inlineStr">
        <is>
          <t>Oklahoma UM coverage must be included unless rejected in writing. The statutory UM framework includes protection for underinsured situations.</t>
        </is>
      </c>
    </row>
    <row r="44">
      <c r="A44" s="348" t="inlineStr">
        <is>
          <t>Oregon</t>
        </is>
      </c>
      <c r="B44" s="348" t="inlineStr">
        <is>
          <t>Yes</t>
        </is>
      </c>
      <c r="C44" s="348" t="inlineStr">
        <is>
          <t>Included in UM</t>
        </is>
      </c>
      <c r="D44" s="348" t="inlineStr">
        <is>
          <t>Limited lower-limit election</t>
        </is>
      </c>
      <c r="E44" s="348" t="inlineStr">
        <is>
          <t>Yes</t>
        </is>
      </c>
      <c r="F44" s="348" t="inlineStr">
        <is>
          <t>Equal to BI Limits unless lower limits elected</t>
        </is>
      </c>
      <c r="G44" s="348" t="inlineStr">
        <is>
          <t>Limited</t>
        </is>
      </c>
      <c r="H44" s="348" t="inlineStr">
        <is>
          <t>ORS § 742.502; OAR 836-054-0000</t>
        </is>
      </c>
      <c r="I44" s="348" t="inlineStr">
        <is>
          <t>https://oregon.public.law/statutes/ors_742.502</t>
        </is>
      </c>
      <c r="J44" s="348" t="inlineStr">
        <is>
          <t>Oregon requires UM coverage and UM coverage must include underinsurance coverage. Lower limits may be elected using an approved written form.</t>
        </is>
      </c>
    </row>
    <row r="45">
      <c r="A45" s="348" t="inlineStr">
        <is>
          <t>Rhode Island</t>
        </is>
      </c>
      <c r="B45" s="348" t="inlineStr">
        <is>
          <t>Yes</t>
        </is>
      </c>
      <c r="C45" s="348" t="inlineStr">
        <is>
          <t>Included in UM/UIM framework</t>
        </is>
      </c>
      <c r="D45" s="348" t="inlineStr">
        <is>
          <t>Limited</t>
        </is>
      </c>
      <c r="E45" s="348" t="inlineStr">
        <is>
          <t>Yes</t>
        </is>
      </c>
      <c r="F45" s="348" t="inlineStr">
        <is>
          <t>Equal to BI Limits unless valid lower/rejection election</t>
        </is>
      </c>
      <c r="G45" s="348" t="inlineStr">
        <is>
          <t>Limited</t>
        </is>
      </c>
      <c r="H45" s="348" t="inlineStr">
        <is>
          <t>R.I. Gen. Laws § 27-7-2.1; 230-RICR-20-05-1</t>
        </is>
      </c>
      <c r="I45" s="348" t="inlineStr">
        <is>
          <t>https://rules.sos.ri.gov/regulations/part/230-20-05-1</t>
        </is>
      </c>
      <c r="J45" s="348" t="inlineStr">
        <is>
          <t>Rhode Island requires UM/UIM coverage tied to liability limits, with limited rejection or lower-limit elections under state regulations.</t>
        </is>
      </c>
    </row>
    <row r="46">
      <c r="A46" s="348" t="inlineStr">
        <is>
          <t>South Dakota</t>
        </is>
      </c>
      <c r="B46" s="348" t="inlineStr">
        <is>
          <t>Yes</t>
        </is>
      </c>
      <c r="C46" s="348" t="inlineStr">
        <is>
          <t>Yes</t>
        </is>
      </c>
      <c r="D46" s="348" t="inlineStr">
        <is>
          <t>No</t>
        </is>
      </c>
      <c r="E46" s="348" t="inlineStr">
        <is>
          <t>N/A</t>
        </is>
      </c>
      <c r="F46" s="348" t="inlineStr">
        <is>
          <t>Statutory Minimum / liability-linked limits</t>
        </is>
      </c>
      <c r="G46" s="348" t="inlineStr">
        <is>
          <t>No</t>
        </is>
      </c>
      <c r="H46" s="348" t="inlineStr">
        <is>
          <t>S.D. Codified Laws §§ 58-11-9 to 58-11-9.9</t>
        </is>
      </c>
      <c r="I46" s="348" t="inlineStr">
        <is>
          <t>https://sdlegislature.gov/Statutes/58-11</t>
        </is>
      </c>
      <c r="J46" s="348" t="inlineStr">
        <is>
          <t>South Dakota requires UM and UIM coverage. The statutes also include anti-stacking provisions for uninsured and underinsured motorist limits.</t>
        </is>
      </c>
    </row>
    <row r="47">
      <c r="A47" s="348" t="inlineStr">
        <is>
          <t>Tennessee</t>
        </is>
      </c>
      <c r="B47" s="348" t="inlineStr">
        <is>
          <t>Yes</t>
        </is>
      </c>
      <c r="C47" s="348" t="inlineStr">
        <is>
          <t>Included in UM</t>
        </is>
      </c>
      <c r="D47" s="348" t="inlineStr">
        <is>
          <t>Yes</t>
        </is>
      </c>
      <c r="E47" s="348" t="inlineStr">
        <is>
          <t>Yes</t>
        </is>
      </c>
      <c r="F47" s="348" t="inlineStr">
        <is>
          <t>Equal to BI Limits unless rejected/lower limits selected</t>
        </is>
      </c>
      <c r="G47" s="348" t="inlineStr">
        <is>
          <t>Conditional</t>
        </is>
      </c>
      <c r="H47" s="348" t="inlineStr">
        <is>
          <t>Tenn. Code Ann. § 56-7-1201</t>
        </is>
      </c>
      <c r="I47" s="348" t="inlineStr">
        <is>
          <t>https://law.justia.com/codes/tennessee/title-56/chapter-7/part-12/section-56-7-1201/</t>
        </is>
      </c>
      <c r="J47" s="348" t="inlineStr">
        <is>
          <t>Tennessee requires UM/UIM coverage unless rejected in writing. Stacking may depend on policy structure, premiums, and statutory limitations.</t>
        </is>
      </c>
    </row>
    <row r="48">
      <c r="A48" s="348" t="inlineStr">
        <is>
          <t>Utah</t>
        </is>
      </c>
      <c r="B48" s="348" t="inlineStr">
        <is>
          <t>Yes</t>
        </is>
      </c>
      <c r="C48" s="348" t="inlineStr">
        <is>
          <t>Yes</t>
        </is>
      </c>
      <c r="D48" s="348" t="inlineStr">
        <is>
          <t>Yes</t>
        </is>
      </c>
      <c r="E48" s="348" t="inlineStr">
        <is>
          <t>Yes</t>
        </is>
      </c>
      <c r="F48" s="348" t="inlineStr">
        <is>
          <t>Equal to Liability Limits unless valid waiver/selection</t>
        </is>
      </c>
      <c r="G48" s="348" t="inlineStr">
        <is>
          <t>Limited</t>
        </is>
      </c>
      <c r="H48" s="348" t="inlineStr">
        <is>
          <t>Utah Code §§ 31A-22-305; 31A-22-305.3</t>
        </is>
      </c>
      <c r="I48" s="348" t="inlineStr">
        <is>
          <t>https://le.utah.gov/xcode/Title31A/Chapter22/31A-22-S305.html</t>
        </is>
      </c>
      <c r="J48" s="348" t="inlineStr">
        <is>
          <t>Utah requires UM and UIM coverage as part of motor vehicle insurance unless properly waived or selected otherwise in writing.</t>
        </is>
      </c>
    </row>
    <row r="49">
      <c r="A49" s="348" t="inlineStr">
        <is>
          <t>Vermont</t>
        </is>
      </c>
      <c r="B49" s="348" t="inlineStr">
        <is>
          <t>Yes</t>
        </is>
      </c>
      <c r="C49" s="348" t="inlineStr">
        <is>
          <t>Yes</t>
        </is>
      </c>
      <c r="D49" s="348" t="inlineStr">
        <is>
          <t>No</t>
        </is>
      </c>
      <c r="E49" s="348" t="inlineStr">
        <is>
          <t>N/A</t>
        </is>
      </c>
      <c r="F49" s="348" t="inlineStr">
        <is>
          <t>Statutory Minimum / selected limits</t>
        </is>
      </c>
      <c r="G49" s="348" t="inlineStr">
        <is>
          <t>Limited</t>
        </is>
      </c>
      <c r="H49" s="348" t="inlineStr">
        <is>
          <t>23 V.S.A. § 941</t>
        </is>
      </c>
      <c r="I49" s="348" t="inlineStr">
        <is>
          <t>https://legislature.vermont.gov/statutes/section/23/011/00941</t>
        </is>
      </c>
      <c r="J49" s="348" t="inlineStr">
        <is>
          <t>Vermont requires coverage for uninsured, underinsured, and unknown motorists. Minimum UM/UIM limits are higher than basic liability minimums.</t>
        </is>
      </c>
    </row>
    <row r="50">
      <c r="A50" s="348" t="inlineStr">
        <is>
          <t>Virginia</t>
        </is>
      </c>
      <c r="B50" s="348" t="inlineStr">
        <is>
          <t>Yes</t>
        </is>
      </c>
      <c r="C50" s="348" t="inlineStr">
        <is>
          <t>Yes</t>
        </is>
      </c>
      <c r="D50" s="348" t="inlineStr">
        <is>
          <t>No</t>
        </is>
      </c>
      <c r="E50" s="348" t="inlineStr">
        <is>
          <t>N/A</t>
        </is>
      </c>
      <c r="F50" s="348" t="inlineStr">
        <is>
          <t>Equal to Liability Limits unless statutory election applies</t>
        </is>
      </c>
      <c r="G50" s="348" t="inlineStr">
        <is>
          <t>Limited</t>
        </is>
      </c>
      <c r="H50" s="348" t="inlineStr">
        <is>
          <t>Va. Code § 38.2-2206</t>
        </is>
      </c>
      <c r="I50" s="348" t="inlineStr">
        <is>
          <t>https://law.lis.virginia.gov/vacode/title38.2/chapter22/section38.2-2206/</t>
        </is>
      </c>
      <c r="J50" s="348" t="inlineStr">
        <is>
          <t>Virginia requires UM/UIM coverage in motor vehicle policies and provides priority rules when more than one policy may apply.</t>
        </is>
      </c>
    </row>
    <row r="51">
      <c r="A51" s="348" t="inlineStr">
        <is>
          <t>Washington</t>
        </is>
      </c>
      <c r="B51" s="348" t="inlineStr">
        <is>
          <t>Yes</t>
        </is>
      </c>
      <c r="C51" s="348" t="inlineStr">
        <is>
          <t>Included in UM/UIM framework</t>
        </is>
      </c>
      <c r="D51" s="348" t="inlineStr">
        <is>
          <t>Yes</t>
        </is>
      </c>
      <c r="E51" s="348" t="inlineStr">
        <is>
          <t>Yes</t>
        </is>
      </c>
      <c r="F51" s="348" t="inlineStr">
        <is>
          <t>Equal to BI Limits unless rejected/lower limits selected</t>
        </is>
      </c>
      <c r="G51" s="348" t="inlineStr">
        <is>
          <t>No</t>
        </is>
      </c>
      <c r="H51" s="348" t="inlineStr">
        <is>
          <t>RCW § 48.22.030</t>
        </is>
      </c>
      <c r="I51" s="348" t="inlineStr">
        <is>
          <t>https://app.leg.wa.gov/rcw/default.aspx?cite=48.22.030</t>
        </is>
      </c>
      <c r="J51" s="348" t="inlineStr">
        <is>
          <t>Washington requires UM/UIM coverage to be provided unless rejected by the named insured. The statute restricts stacking in important circumstances.</t>
        </is>
      </c>
    </row>
    <row r="52">
      <c r="A52" s="348" t="inlineStr">
        <is>
          <t>West Virginia</t>
        </is>
      </c>
      <c r="B52" s="348" t="inlineStr">
        <is>
          <t>Yes</t>
        </is>
      </c>
      <c r="C52" s="348" t="inlineStr">
        <is>
          <t>No - optional / policy-specific</t>
        </is>
      </c>
      <c r="D52" s="348" t="inlineStr">
        <is>
          <t>Yes for optional/higher limits</t>
        </is>
      </c>
      <c r="E52" s="348" t="inlineStr">
        <is>
          <t>Yes</t>
        </is>
      </c>
      <c r="F52" s="348" t="inlineStr">
        <is>
          <t>Statutory Minimum UM; selected optional UIM limits</t>
        </is>
      </c>
      <c r="G52" s="348" t="inlineStr">
        <is>
          <t>Limited</t>
        </is>
      </c>
      <c r="H52" s="348" t="inlineStr">
        <is>
          <t>W. Va. Code §§ 33-6-31; 33-6-31d</t>
        </is>
      </c>
      <c r="I52" s="348" t="inlineStr">
        <is>
          <t>https://code.wvlegislature.gov/33-6-31/</t>
        </is>
      </c>
      <c r="J52" s="348" t="inlineStr">
        <is>
          <t>West Virginia requires UM coverage and requires optional UM/UIM limits to be made available through the statutory offer form process.</t>
        </is>
      </c>
    </row>
    <row r="53">
      <c r="A53" s="348" t="inlineStr">
        <is>
          <t>Wisconsin</t>
        </is>
      </c>
      <c r="B53" s="348" t="inlineStr">
        <is>
          <t>Yes</t>
        </is>
      </c>
      <c r="C53" s="348" t="inlineStr">
        <is>
          <t>No - optional / policy-specific</t>
        </is>
      </c>
      <c r="D53" s="348" t="inlineStr">
        <is>
          <t>No for UM; Yes for UIM</t>
        </is>
      </c>
      <c r="E53" s="348" t="inlineStr">
        <is>
          <t>Yes for UIM availability/rejection</t>
        </is>
      </c>
      <c r="F53" s="348" t="inlineStr">
        <is>
          <t>Statutory Minimum UM; selected UIM limits</t>
        </is>
      </c>
      <c r="G53" s="348" t="inlineStr">
        <is>
          <t>No</t>
        </is>
      </c>
      <c r="H53" s="348" t="inlineStr">
        <is>
          <t>Wis. Stat. § 632.32</t>
        </is>
      </c>
      <c r="I53" s="348" t="inlineStr">
        <is>
          <t>https://docs.legis.wisconsin.gov/document/statutes/632.32</t>
        </is>
      </c>
      <c r="J53" s="348" t="inlineStr">
        <is>
          <t>Wisconsin requires UM coverage. UIM is optional with notice of availability; current law generally permits anti-stacking language.</t>
        </is>
      </c>
    </row>
    <row r="54">
      <c r="A54" s="348" t="inlineStr">
        <is>
          <t>Wyoming</t>
        </is>
      </c>
      <c r="B54" s="348" t="inlineStr">
        <is>
          <t>Yes</t>
        </is>
      </c>
      <c r="C54" s="348" t="inlineStr">
        <is>
          <t>No - optional / policy-specific</t>
        </is>
      </c>
      <c r="D54" s="348" t="inlineStr">
        <is>
          <t>Yes</t>
        </is>
      </c>
      <c r="E54" s="348" t="inlineStr">
        <is>
          <t>Yes</t>
        </is>
      </c>
      <c r="F54" s="348" t="inlineStr">
        <is>
          <t>Statutory Minimum unless rejected or higher limits selected</t>
        </is>
      </c>
      <c r="G54" s="348" t="inlineStr">
        <is>
          <t>Limited</t>
        </is>
      </c>
      <c r="H54" s="348" t="inlineStr">
        <is>
          <t>Wyo. Stat. § 31-10-101</t>
        </is>
      </c>
      <c r="I54" s="348" t="inlineStr">
        <is>
          <t>https://law.justia.com/codes/wyoming/title-31/chapter-10/section-31-10-101/</t>
        </is>
      </c>
      <c r="J54" s="348" t="inlineStr">
        <is>
          <t>Wyoming requires UM coverage unless rejected by the named insured. UIM coverage is not generally required by statute.</t>
        </is>
      </c>
    </row>
    <row r="55">
      <c r="A55" s="348" t="n"/>
      <c r="B55" s="348" t="n"/>
      <c r="C55" s="348" t="n"/>
      <c r="D55" s="348" t="n"/>
      <c r="E55" s="348" t="n"/>
      <c r="F55" s="348" t="n"/>
      <c r="G55" s="348" t="n"/>
      <c r="H55" s="348" t="n"/>
      <c r="I55" s="348" t="n"/>
      <c r="J55" s="348" t="n"/>
    </row>
  </sheetData>
  <mergeCells count="3">
    <mergeCell ref="A16:J16"/>
    <mergeCell ref="A1:J1"/>
    <mergeCell ref="A2:J2"/>
  </mergeCells>
  <dataValidations count="3">
    <dataValidation sqref="D5:D104" showDropDown="0" showInputMessage="0" showErrorMessage="0" allowBlank="0" type="list">
      <formula1>"Yes,No,N/A,Yes for optional UIM"</formula1>
    </dataValidation>
    <dataValidation sqref="E5:E104" showDropDown="0" showInputMessage="0" showErrorMessage="0" allowBlank="0" type="list">
      <formula1>"Yes,No,N/A,Yes / offer-form driven"</formula1>
    </dataValidation>
    <dataValidation sqref="G5:G104" showDropDown="0" showInputMessage="0" showErrorMessage="0" allowBlank="0" type="list">
      <formula1>"Yes,No,Limited,Conditional / policy-specific,Policy-specific,Yes / generally allowed,Yes unless waived in writing,Limited / policy-specific"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26" customWidth="1" style="355" min="2" max="2"/>
    <col width="12" customWidth="1" style="355" min="3" max="3"/>
    <col width="42" customWidth="1" style="355" min="4" max="4"/>
    <col width="58" customWidth="1" style="355" min="5" max="5"/>
    <col width="70" customWidth="1" style="355" min="6" max="6"/>
  </cols>
  <sheetData>
    <row r="1" ht="24" customHeight="1" s="355">
      <c r="A1" s="166" t="inlineStr">
        <is>
          <t>State</t>
        </is>
      </c>
      <c r="B1" s="166" t="inlineStr">
        <is>
          <t>System</t>
        </is>
      </c>
      <c r="C1" s="166" t="inlineStr">
        <is>
          <t>Threshold</t>
        </is>
      </c>
      <c r="D1" s="166" t="inlineStr">
        <is>
          <t>Citation</t>
        </is>
      </c>
      <c r="E1" s="166" t="inlineStr">
        <is>
          <t>URL</t>
        </is>
      </c>
      <c r="F1" s="166" t="inlineStr">
        <is>
          <t>Notes</t>
        </is>
      </c>
    </row>
    <row r="2" ht="48" customHeight="1" s="355">
      <c r="A2" s="348" t="inlineStr">
        <is>
          <t>Alabama</t>
        </is>
      </c>
      <c r="B2" s="348" t="inlineStr">
        <is>
          <t>Contributory Negligence</t>
        </is>
      </c>
      <c r="C2" s="348" t="inlineStr">
        <is>
          <t>N/A</t>
        </is>
      </c>
      <c r="D2" s="348" t="inlineStr">
        <is>
          <t>Golden v. McCurry, 392 So. 2d 815 (Ala. 1980)</t>
        </is>
      </c>
      <c r="E2" s="348" t="inlineStr">
        <is>
          <t>https://law.justia.com/cases/alabama/supreme-court/1980/392-so-2d-815-1.html</t>
        </is>
      </c>
      <c r="F2" s="348" t="inlineStr">
        <is>
          <t>Contributory negligence remains a complete bar to ordinary negligence recovery, subject to recognized exceptions.</t>
        </is>
      </c>
    </row>
    <row r="3" ht="48" customHeight="1" s="355">
      <c r="A3" s="348" t="inlineStr">
        <is>
          <t>Alaska</t>
        </is>
      </c>
      <c r="B3" s="348" t="inlineStr">
        <is>
          <t>Pure Comparative</t>
        </is>
      </c>
      <c r="C3" s="348" t="inlineStr">
        <is>
          <t>N/A</t>
        </is>
      </c>
      <c r="D3" s="348" t="inlineStr">
        <is>
          <t>AS § 09.17.080</t>
        </is>
      </c>
      <c r="E3" s="348" t="inlineStr">
        <is>
          <t>https://www.akleg.gov/basis/statutes.asp#09.17.080</t>
        </is>
      </c>
      <c r="F3" s="348" t="inlineStr">
        <is>
          <t>Damages are allocated according to percentage of fault.</t>
        </is>
      </c>
    </row>
    <row r="4" ht="48" customHeight="1" s="355">
      <c r="A4" s="348" t="inlineStr">
        <is>
          <t>Arizona</t>
        </is>
      </c>
      <c r="B4" s="348" t="inlineStr">
        <is>
          <t>Pure Comparative</t>
        </is>
      </c>
      <c r="C4" s="348" t="inlineStr">
        <is>
          <t>N/A</t>
        </is>
      </c>
      <c r="D4" s="348" t="inlineStr">
        <is>
          <t>A.R.S. § 12-2505</t>
        </is>
      </c>
      <c r="E4" s="348" t="inlineStr">
        <is>
          <t>https://www.azleg.gov/ars/12/02505.htm</t>
        </is>
      </c>
      <c r="F4" s="348" t="inlineStr">
        <is>
          <t>Damages are reduced in proportion to claimant fault; intentional, willful, or wanton conduct is treated separately.</t>
        </is>
      </c>
    </row>
    <row r="5" ht="48" customHeight="1" s="355">
      <c r="A5" s="348" t="inlineStr">
        <is>
          <t>Arkansas</t>
        </is>
      </c>
      <c r="B5" s="348" t="inlineStr">
        <is>
          <t>Modified Comparative (50%)</t>
        </is>
      </c>
      <c r="C5" s="348" t="inlineStr">
        <is>
          <t>50%</t>
        </is>
      </c>
      <c r="D5" s="348" t="inlineStr">
        <is>
          <t>Ark. Code Ann. § 16-64-122</t>
        </is>
      </c>
      <c r="E5" s="348" t="inlineStr">
        <is>
          <t>https://law.justia.com/codes/arkansas/title-16/subtitle-5/chapter-64/section-16-64-122/</t>
        </is>
      </c>
      <c r="F5" s="348" t="inlineStr">
        <is>
          <t>Claimant may recover only when claimant fault is less than the fault of the party or parties from whom recovery is sought.</t>
        </is>
      </c>
    </row>
    <row r="6" ht="48" customHeight="1" s="355">
      <c r="A6" s="348" t="inlineStr">
        <is>
          <t>California</t>
        </is>
      </c>
      <c r="B6" s="348" t="inlineStr">
        <is>
          <t>Pure Comparative</t>
        </is>
      </c>
      <c r="C6" s="348" t="inlineStr">
        <is>
          <t>N/A</t>
        </is>
      </c>
      <c r="D6" s="348" t="inlineStr">
        <is>
          <t>Li v. Yellow Cab Co., 13 Cal. 3d 804 (1975)</t>
        </is>
      </c>
      <c r="E6" s="348" t="inlineStr">
        <is>
          <t>https://law.justia.com/cases/california/supreme-court/3d/13/804.html</t>
        </is>
      </c>
      <c r="F6" s="348" t="inlineStr">
        <is>
          <t>California follows pure comparative negligence; damages are reduced by claimant percentage of fault.</t>
        </is>
      </c>
    </row>
    <row r="7" ht="48" customHeight="1" s="355">
      <c r="A7" s="348" t="inlineStr">
        <is>
          <t>Colorado</t>
        </is>
      </c>
      <c r="B7" s="348" t="inlineStr">
        <is>
          <t>Modified Comparative (50%)</t>
        </is>
      </c>
      <c r="C7" s="348" t="inlineStr">
        <is>
          <t>50%</t>
        </is>
      </c>
      <c r="D7" s="348" t="inlineStr">
        <is>
          <t>Colo. Rev. Stat. § 13-21-111</t>
        </is>
      </c>
      <c r="E7" s="348" t="inlineStr">
        <is>
          <t>https://leg.colorado.gov/sites/default/files/images/olls/crs2021-title-13.pdf</t>
        </is>
      </c>
      <c r="F7" s="348" t="inlineStr">
        <is>
          <t>Claimant is barred when claimant negligence is equal to or greater than the negligence of the person against whom recovery is sought.</t>
        </is>
      </c>
    </row>
    <row r="8" ht="48" customHeight="1" s="355">
      <c r="A8" s="348" t="inlineStr">
        <is>
          <t>Connecticut</t>
        </is>
      </c>
      <c r="B8" s="348" t="inlineStr">
        <is>
          <t>Modified Comparative (51%)</t>
        </is>
      </c>
      <c r="C8" s="348" t="inlineStr">
        <is>
          <t>51%</t>
        </is>
      </c>
      <c r="D8" s="348" t="inlineStr">
        <is>
          <t>Conn. Gen. Stat. § 52-572h</t>
        </is>
      </c>
      <c r="E8" s="348" t="inlineStr">
        <is>
          <t>https://www.cga.ct.gov/current/pub/chap_925.htm#sec_52-572h</t>
        </is>
      </c>
      <c r="F8" s="348" t="inlineStr">
        <is>
          <t>Claimant may recover if claimant negligence is not greater than the combined negligence of the parties against whom recovery is sought.</t>
        </is>
      </c>
    </row>
    <row r="9" ht="48" customHeight="1" s="355">
      <c r="A9" s="348" t="inlineStr">
        <is>
          <t>Delaware</t>
        </is>
      </c>
      <c r="B9" s="348" t="inlineStr">
        <is>
          <t>Modified Comparative (51%)</t>
        </is>
      </c>
      <c r="C9" s="348" t="inlineStr">
        <is>
          <t>51%</t>
        </is>
      </c>
      <c r="D9" s="348" t="inlineStr">
        <is>
          <t>10 Del. C. § 8132</t>
        </is>
      </c>
      <c r="E9" s="348" t="inlineStr">
        <is>
          <t>https://delcode.delaware.gov/title10/c081/sc01/index.html#8132</t>
        </is>
      </c>
      <c r="F9" s="348" t="inlineStr">
        <is>
          <t>Claimant may recover if claimant negligence is not greater than the negligence of the defendant or defendants.</t>
        </is>
      </c>
    </row>
    <row r="10" ht="48" customHeight="1" s="355">
      <c r="A10" s="348" t="inlineStr">
        <is>
          <t>Florida</t>
        </is>
      </c>
      <c r="B10" s="348" t="inlineStr">
        <is>
          <t>Modified Comparative (51%)</t>
        </is>
      </c>
      <c r="C10" s="348" t="inlineStr">
        <is>
          <t>51%</t>
        </is>
      </c>
      <c r="D10" s="348" t="inlineStr">
        <is>
          <t>Fla. Stat. § 768.81</t>
        </is>
      </c>
      <c r="E10" s="348" t="inlineStr">
        <is>
          <t>https://www.leg.state.fl.us/statutes/index.cfm?App_mode=Display_Statute&amp;URL=0700-0799/0768/Sections/0768.81.html</t>
        </is>
      </c>
      <c r="F10" s="348" t="inlineStr">
        <is>
          <t>Claimant generally may not recover if found greater than 50% at fault, with statutory exceptions.</t>
        </is>
      </c>
    </row>
    <row r="11" ht="48" customHeight="1" s="355">
      <c r="A11" s="348" t="inlineStr">
        <is>
          <t>Georgia</t>
        </is>
      </c>
      <c r="B11" s="348" t="inlineStr">
        <is>
          <t>Modified Comparative (50%)</t>
        </is>
      </c>
      <c r="C11" s="348" t="inlineStr">
        <is>
          <t>50%</t>
        </is>
      </c>
      <c r="D11" s="348" t="inlineStr">
        <is>
          <t>O.C.G.A. § 51-12-33</t>
        </is>
      </c>
      <c r="E11" s="348" t="inlineStr">
        <is>
          <t>https://law.justia.com/codes/georgia/title-51/chapter-12/article-2/section-51-12-33/</t>
        </is>
      </c>
      <c r="F11" s="348" t="inlineStr">
        <is>
          <t>Claimant is barred if claimant is 50% or more responsible for the injury or damages.</t>
        </is>
      </c>
    </row>
    <row r="12" ht="48" customHeight="1" s="355">
      <c r="A12" s="348" t="inlineStr">
        <is>
          <t>Hawaii</t>
        </is>
      </c>
      <c r="B12" s="348" t="inlineStr">
        <is>
          <t>Modified Comparative (51%)</t>
        </is>
      </c>
      <c r="C12" s="348" t="inlineStr">
        <is>
          <t>51%</t>
        </is>
      </c>
      <c r="D12" s="348" t="inlineStr">
        <is>
          <t>Haw. Rev. Stat. § 663-31</t>
        </is>
      </c>
      <c r="E12" s="348" t="inlineStr">
        <is>
          <t>https://www.capitol.hawaii.gov/hrscurrent/Vol13_Ch0601-0676/HRS0663/HRS_0663-0031.htm</t>
        </is>
      </c>
      <c r="F12" s="348" t="inlineStr">
        <is>
          <t>Claimant may recover when claimant negligence is not greater than the aggregate negligence of the defendant or defendants.</t>
        </is>
      </c>
    </row>
    <row r="13" ht="48" customHeight="1" s="355">
      <c r="A13" s="348" t="inlineStr">
        <is>
          <t>Idaho</t>
        </is>
      </c>
      <c r="B13" s="348" t="inlineStr">
        <is>
          <t>Modified Comparative (50%)</t>
        </is>
      </c>
      <c r="C13" s="348" t="inlineStr">
        <is>
          <t>50%</t>
        </is>
      </c>
      <c r="D13" s="348" t="inlineStr">
        <is>
          <t>Idaho Code § 6-801</t>
        </is>
      </c>
      <c r="E13" s="348" t="inlineStr">
        <is>
          <t>https://legislature.idaho.gov/statutesrules/idstat/title6/t6ch8/sect6-801/</t>
        </is>
      </c>
      <c r="F13" s="348" t="inlineStr">
        <is>
          <t>Claimant may recover only if claimant negligence is less than the negligence of the person or persons against whom recovery is sought.</t>
        </is>
      </c>
    </row>
    <row r="14" ht="48" customHeight="1" s="355">
      <c r="A14" s="348" t="inlineStr">
        <is>
          <t>Illinois</t>
        </is>
      </c>
      <c r="B14" s="348" t="inlineStr">
        <is>
          <t>Modified Comparative (51%)</t>
        </is>
      </c>
      <c r="C14" s="348" t="inlineStr">
        <is>
          <t>51%</t>
        </is>
      </c>
      <c r="D14" s="348" t="inlineStr">
        <is>
          <t>735 ILCS 5/2-1116</t>
        </is>
      </c>
      <c r="E14" s="348" t="inlineStr">
        <is>
          <t>https://www.ilga.gov/legislation/ilcs/documents/073500050K2-1116.htm</t>
        </is>
      </c>
      <c r="F14" s="348" t="inlineStr">
        <is>
          <t>Claimant is barred only if claimant contributory fault is more than 50% of the proximate cause of the injury.</t>
        </is>
      </c>
    </row>
    <row r="15" ht="48" customHeight="1" s="355">
      <c r="A15" s="348" t="inlineStr">
        <is>
          <t>Indiana</t>
        </is>
      </c>
      <c r="B15" s="348" t="inlineStr">
        <is>
          <t>Modified Comparative (51%)</t>
        </is>
      </c>
      <c r="C15" s="348" t="inlineStr">
        <is>
          <t>51%</t>
        </is>
      </c>
      <c r="D15" s="348" t="inlineStr">
        <is>
          <t>Ind. Code § 34-51-2-6</t>
        </is>
      </c>
      <c r="E15" s="348" t="inlineStr">
        <is>
          <t>https://iga.in.gov/laws/2024/ic/titles/34#34-51-2-6</t>
        </is>
      </c>
      <c r="F15" s="348" t="inlineStr">
        <is>
          <t>Claimant is barred if claimant contributory fault is greater than the fault of all persons whose fault proximately contributed to the damages.</t>
        </is>
      </c>
    </row>
    <row r="16" ht="48" customHeight="1" s="355">
      <c r="A16" s="348" t="inlineStr">
        <is>
          <t>Iowa</t>
        </is>
      </c>
      <c r="B16" s="348" t="inlineStr">
        <is>
          <t>Modified Comparative (51%)</t>
        </is>
      </c>
      <c r="C16" s="348" t="inlineStr">
        <is>
          <t>51%</t>
        </is>
      </c>
      <c r="D16" s="348" t="inlineStr">
        <is>
          <t>Iowa Code § 668.3</t>
        </is>
      </c>
      <c r="E16" s="348" t="inlineStr">
        <is>
          <t>https://www.legis.iowa.gov/docs/code/668.3.pdf</t>
        </is>
      </c>
      <c r="F16" s="348" t="inlineStr">
        <is>
          <t>Claimant fault does not bar recovery unless claimant bears a greater percentage of fault than the combined fault of other parties.</t>
        </is>
      </c>
    </row>
    <row r="17" ht="48" customHeight="1" s="355">
      <c r="A17" s="348" t="inlineStr">
        <is>
          <t>Kansas</t>
        </is>
      </c>
      <c r="B17" s="348" t="inlineStr">
        <is>
          <t>Modified Comparative (50%)</t>
        </is>
      </c>
      <c r="C17" s="348" t="inlineStr">
        <is>
          <t>50%</t>
        </is>
      </c>
      <c r="D17" s="348" t="inlineStr">
        <is>
          <t>K.S.A. § 60-258a</t>
        </is>
      </c>
      <c r="E17" s="348" t="inlineStr">
        <is>
          <t>https://www.ksrevisor.gov/statutes/chapters/ch60/060_002_0058a.html</t>
        </is>
      </c>
      <c r="F17" s="348" t="inlineStr">
        <is>
          <t>Claimant may recover only when claimant causal negligence is less than the causal negligence of the party or parties against whom claim is made.</t>
        </is>
      </c>
    </row>
    <row r="18" ht="48" customHeight="1" s="355">
      <c r="A18" s="348" t="inlineStr">
        <is>
          <t>Kentucky</t>
        </is>
      </c>
      <c r="B18" s="348" t="inlineStr">
        <is>
          <t>Pure Comparative</t>
        </is>
      </c>
      <c r="C18" s="348" t="inlineStr">
        <is>
          <t>N/A</t>
        </is>
      </c>
      <c r="D18" s="348" t="inlineStr">
        <is>
          <t>KRS § 411.182; Hilen v. Hays, 673 S.W.2d 713 (Ky. 1984)</t>
        </is>
      </c>
      <c r="E18" s="348" t="inlineStr">
        <is>
          <t>https://apps.legislature.ky.gov/law/statutes/statute.aspx?id=19672</t>
        </is>
      </c>
      <c r="F18" s="348" t="inlineStr">
        <is>
          <t>Kentucky follows comparative fault apportionment; damages are allocated by percentage of fault.</t>
        </is>
      </c>
    </row>
    <row r="19" ht="48" customHeight="1" s="355">
      <c r="A19" s="348" t="inlineStr">
        <is>
          <t>Louisiana</t>
        </is>
      </c>
      <c r="B19" s="348" t="inlineStr">
        <is>
          <t>Pure Comparative</t>
        </is>
      </c>
      <c r="C19" s="348" t="inlineStr">
        <is>
          <t>N/A</t>
        </is>
      </c>
      <c r="D19" s="348" t="inlineStr">
        <is>
          <t>La. Civ. Code art. 2323</t>
        </is>
      </c>
      <c r="E19" s="348" t="inlineStr">
        <is>
          <t>https://legis.la.gov/legis/Law.aspx?d=109388</t>
        </is>
      </c>
      <c r="F19" s="348" t="inlineStr">
        <is>
          <t>Damages are reduced in proportion to the degree or percentage of negligence attributable to the claimant.</t>
        </is>
      </c>
    </row>
    <row r="20" ht="48" customHeight="1" s="355">
      <c r="A20" s="348" t="inlineStr">
        <is>
          <t>Maine</t>
        </is>
      </c>
      <c r="B20" s="348" t="inlineStr">
        <is>
          <t>Modified Comparative (50%)</t>
        </is>
      </c>
      <c r="C20" s="348" t="inlineStr">
        <is>
          <t>50%</t>
        </is>
      </c>
      <c r="D20" s="348" t="inlineStr">
        <is>
          <t>14 M.R.S. § 156</t>
        </is>
      </c>
      <c r="E20" s="348" t="inlineStr">
        <is>
          <t>https://legislature.maine.gov/statutes/14/title14sec156.html</t>
        </is>
      </c>
      <c r="F20" s="348" t="inlineStr">
        <is>
          <t>Claimant is barred when claimant fault is equal to or greater than the total fault of the defendant or defendants.</t>
        </is>
      </c>
    </row>
    <row r="21" ht="48" customHeight="1" s="355">
      <c r="A21" s="348" t="inlineStr">
        <is>
          <t>Maryland</t>
        </is>
      </c>
      <c r="B21" s="348" t="inlineStr">
        <is>
          <t>Contributory Negligence</t>
        </is>
      </c>
      <c r="C21" s="348" t="inlineStr">
        <is>
          <t>N/A</t>
        </is>
      </c>
      <c r="D21" s="348" t="inlineStr">
        <is>
          <t>Coleman v. Soccer Ass'n of Columbia, 432 Md. 679 (2013)</t>
        </is>
      </c>
      <c r="E21" s="348" t="inlineStr">
        <is>
          <t>https://mdcourts.gov/data/opinions/coa/2013/9a12.pdf</t>
        </is>
      </c>
      <c r="F21" s="348" t="inlineStr">
        <is>
          <t>Maryland retains contributory negligence as a complete bar to ordinary negligence recovery.</t>
        </is>
      </c>
    </row>
    <row r="22" ht="48" customHeight="1" s="355">
      <c r="A22" s="348" t="inlineStr">
        <is>
          <t>Massachusetts</t>
        </is>
      </c>
      <c r="B22" s="348" t="inlineStr">
        <is>
          <t>Modified Comparative (51%)</t>
        </is>
      </c>
      <c r="C22" s="348" t="inlineStr">
        <is>
          <t>51%</t>
        </is>
      </c>
      <c r="D22" s="348" t="inlineStr">
        <is>
          <t>Mass. Gen. Laws ch. 231, § 85</t>
        </is>
      </c>
      <c r="E22" s="348" t="inlineStr">
        <is>
          <t>https://malegislature.gov/Laws/GeneralLaws/PartIII/TitleII/Chapter231/Section85</t>
        </is>
      </c>
      <c r="F22" s="348" t="inlineStr">
        <is>
          <t>Claimant may recover if claimant negligence is not greater than the total negligence of the person or persons against whom recovery is sought.</t>
        </is>
      </c>
    </row>
    <row r="23" ht="48" customHeight="1" s="355">
      <c r="A23" s="348" t="inlineStr">
        <is>
          <t>Michigan</t>
        </is>
      </c>
      <c r="B23" s="348" t="inlineStr">
        <is>
          <t>Modified Comparative (51%)</t>
        </is>
      </c>
      <c r="C23" s="348" t="inlineStr">
        <is>
          <t>51%</t>
        </is>
      </c>
      <c r="D23" s="348" t="inlineStr">
        <is>
          <t>MCL § 600.2959</t>
        </is>
      </c>
      <c r="E23" s="348" t="inlineStr">
        <is>
          <t>https://www.legislature.mi.gov/Laws/MCL?objectName=mcl-600-2959</t>
        </is>
      </c>
      <c r="F23" s="348" t="inlineStr">
        <is>
          <t>Damages are reduced by percentage of fault; noneconomic damages are barred if claimant fault is greater than 50%.</t>
        </is>
      </c>
    </row>
    <row r="24" ht="48" customHeight="1" s="355">
      <c r="A24" s="348" t="inlineStr">
        <is>
          <t>Minnesota</t>
        </is>
      </c>
      <c r="B24" s="348" t="inlineStr">
        <is>
          <t>Modified Comparative (51%)</t>
        </is>
      </c>
      <c r="C24" s="348" t="inlineStr">
        <is>
          <t>51%</t>
        </is>
      </c>
      <c r="D24" s="348" t="inlineStr">
        <is>
          <t>Minn. Stat. § 604.01</t>
        </is>
      </c>
      <c r="E24" s="348" t="inlineStr">
        <is>
          <t>https://www.revisor.mn.gov/statutes/cite/604.01</t>
        </is>
      </c>
      <c r="F24" s="348" t="inlineStr">
        <is>
          <t>Claimant may recover if claimant fault is not greater than the fault of the person against whom recovery is sought.</t>
        </is>
      </c>
    </row>
    <row r="25" ht="48" customHeight="1" s="355">
      <c r="A25" s="348" t="inlineStr">
        <is>
          <t>Mississippi</t>
        </is>
      </c>
      <c r="B25" s="348" t="inlineStr">
        <is>
          <t>Pure Comparative</t>
        </is>
      </c>
      <c r="C25" s="348" t="inlineStr">
        <is>
          <t>N/A</t>
        </is>
      </c>
      <c r="D25" s="348" t="inlineStr">
        <is>
          <t>Miss. Code Ann. § 11-7-15</t>
        </is>
      </c>
      <c r="E25" s="348" t="inlineStr">
        <is>
          <t>https://advance.lexis.com/container?config=014EJAA3OTNkYzRlOS01MDcxLTRhOGItYWJkOS1iZGUyNjA5Y2M4Y2EKAFBvZENhdGFsb2fkY4Wkiqo6YsflNRhmQCcw&amp;crid=f6ce0682-d686-461e-8f20-3de90f71507a</t>
        </is>
      </c>
      <c r="F25" s="348" t="inlineStr">
        <is>
          <t>Contributory negligence does not bar recovery; damages are reduced in proportion to claimant negligence.</t>
        </is>
      </c>
    </row>
    <row r="26" ht="48" customHeight="1" s="355">
      <c r="A26" s="348" t="inlineStr">
        <is>
          <t>Missouri</t>
        </is>
      </c>
      <c r="B26" s="348" t="inlineStr">
        <is>
          <t>Pure Comparative</t>
        </is>
      </c>
      <c r="C26" s="348" t="inlineStr">
        <is>
          <t>N/A</t>
        </is>
      </c>
      <c r="D26" s="348" t="inlineStr">
        <is>
          <t>Gustafson v. Benda, 661 S.W.2d 11 (Mo. 1983)</t>
        </is>
      </c>
      <c r="E26" s="348" t="inlineStr">
        <is>
          <t>https://law.justia.com/cases/missouri/supreme-court/1983/64460-0.html</t>
        </is>
      </c>
      <c r="F26" s="348" t="inlineStr">
        <is>
          <t>Missouri follows pure comparative fault under case law; damages are reduced by claimant percentage of fault.</t>
        </is>
      </c>
    </row>
    <row r="27">
      <c r="A27" s="348" t="inlineStr">
        <is>
          <t>Montana</t>
        </is>
      </c>
      <c r="B27" s="348" t="inlineStr">
        <is>
          <t>Modified Comparative (51%)</t>
        </is>
      </c>
      <c r="C27" s="348" t="inlineStr">
        <is>
          <t>51%</t>
        </is>
      </c>
      <c r="D27" s="348" t="inlineStr">
        <is>
          <t>Mont. Code Ann. § 27-1-702</t>
        </is>
      </c>
      <c r="E27" s="348" t="inlineStr">
        <is>
          <t>https://mca.legmt.gov/bills/mca/title_0270/chapter_0010/part_0070/section_0020/0270-0010-0070-0020.html</t>
        </is>
      </c>
      <c r="F27" s="348" t="inlineStr">
        <is>
          <t>Claimant may recover if claimant negligence is not greater than the negligence of the defendant or defendants; damages are reduced by claimant fault.</t>
        </is>
      </c>
    </row>
    <row r="28">
      <c r="A28" s="348" t="inlineStr">
        <is>
          <t>Nebraska</t>
        </is>
      </c>
      <c r="B28" s="348" t="inlineStr">
        <is>
          <t>Modified Comparative (50%)</t>
        </is>
      </c>
      <c r="C28" s="348" t="inlineStr">
        <is>
          <t>50%</t>
        </is>
      </c>
      <c r="D28" s="348" t="inlineStr">
        <is>
          <t>Neb. Rev. Stat. § 25-21,185.09</t>
        </is>
      </c>
      <c r="E28" s="348" t="inlineStr">
        <is>
          <t>https://nebraskalegislature.gov/laws/statutes.php?statute=25-21%2C185.09</t>
        </is>
      </c>
      <c r="F28" s="348" t="inlineStr">
        <is>
          <t>Claimant is barred when claimant contributory negligence is equal to or greater than the total negligence of all persons against whom recovery is sought.</t>
        </is>
      </c>
    </row>
    <row r="29">
      <c r="A29" s="348" t="inlineStr">
        <is>
          <t>Nevada</t>
        </is>
      </c>
      <c r="B29" s="348" t="inlineStr">
        <is>
          <t>Modified Comparative (51%)</t>
        </is>
      </c>
      <c r="C29" s="348" t="inlineStr">
        <is>
          <t>51%</t>
        </is>
      </c>
      <c r="D29" s="348" t="inlineStr">
        <is>
          <t>NRS § 41.141</t>
        </is>
      </c>
      <c r="E29" s="348" t="inlineStr">
        <is>
          <t>https://www.leg.state.nv.us/nrs/nrs-041.html</t>
        </is>
      </c>
      <c r="F29" s="348" t="inlineStr">
        <is>
          <t>Claimant may recover when claimant comparative negligence is not greater than the negligence of the defendant or combined negligence of multiple defendants.</t>
        </is>
      </c>
    </row>
    <row r="30">
      <c r="A30" s="348" t="inlineStr">
        <is>
          <t>New Hampshire</t>
        </is>
      </c>
      <c r="B30" s="348" t="inlineStr">
        <is>
          <t>Modified Comparative (51%)</t>
        </is>
      </c>
      <c r="C30" s="348" t="inlineStr">
        <is>
          <t>51%</t>
        </is>
      </c>
      <c r="D30" s="348" t="inlineStr">
        <is>
          <t>N.H. Rev. Stat. Ann. § 507:7-d</t>
        </is>
      </c>
      <c r="E30" s="348" t="inlineStr">
        <is>
          <t>https://law.justia.com/codes/new-hampshire/title-lii/chapter-507/section-507-7-d/</t>
        </is>
      </c>
      <c r="F30" s="348" t="inlineStr">
        <is>
          <t>Claimant may recover if claimant fault is not greater than defendant fault, or aggregate defendant fault when recovery is allowed against more than one defendant.</t>
        </is>
      </c>
    </row>
    <row r="31">
      <c r="A31" s="348" t="inlineStr">
        <is>
          <t>New Jersey</t>
        </is>
      </c>
      <c r="B31" s="348" t="inlineStr">
        <is>
          <t>Modified Comparative (51%)</t>
        </is>
      </c>
      <c r="C31" s="348" t="inlineStr">
        <is>
          <t>51%</t>
        </is>
      </c>
      <c r="D31" s="348" t="inlineStr">
        <is>
          <t>N.J. Stat. Ann. § 2A:15-5.1</t>
        </is>
      </c>
      <c r="E31" s="348" t="inlineStr">
        <is>
          <t>https://lis.njleg.state.nj.us/nxt/gateway.dll/statutes%2F1%2F112%2F353</t>
        </is>
      </c>
      <c r="F31" s="348" t="inlineStr">
        <is>
          <t>Claimant may recover when claimant negligence is not greater than the negligence of the person or persons against whom recovery is sought.</t>
        </is>
      </c>
    </row>
    <row r="32">
      <c r="A32" s="348" t="inlineStr">
        <is>
          <t>New Mexico</t>
        </is>
      </c>
      <c r="B32" s="348" t="inlineStr">
        <is>
          <t>Pure Comparative</t>
        </is>
      </c>
      <c r="C32" s="348" t="inlineStr">
        <is>
          <t>N/A</t>
        </is>
      </c>
      <c r="D32" s="348" t="inlineStr">
        <is>
          <t>Scott v. Rizzo, 96 N.M. 682, 634 P.2d 1234 (1981)</t>
        </is>
      </c>
      <c r="E32" s="348" t="inlineStr">
        <is>
          <t>https://law.justia.com/cases/new-mexico/supreme-court/1981/96-n-m-682.html</t>
        </is>
      </c>
      <c r="F32" s="348" t="inlineStr">
        <is>
          <t>New Mexico follows pure comparative negligence under case law; damages are reduced by claimant percentage of fault.</t>
        </is>
      </c>
    </row>
    <row r="33">
      <c r="A33" s="348" t="inlineStr">
        <is>
          <t>New York</t>
        </is>
      </c>
      <c r="B33" s="348" t="inlineStr">
        <is>
          <t>Pure Comparative</t>
        </is>
      </c>
      <c r="C33" s="348" t="inlineStr">
        <is>
          <t>N/A</t>
        </is>
      </c>
      <c r="D33" s="348" t="inlineStr">
        <is>
          <t>N.Y. C.P.L.R. § 1411</t>
        </is>
      </c>
      <c r="E33" s="348" t="inlineStr">
        <is>
          <t>https://www.nysenate.gov/legislation/laws/CVP/1411</t>
        </is>
      </c>
      <c r="F33" s="348" t="inlineStr">
        <is>
          <t>Claimant culpable conduct does not bar recovery; damages are diminished in proportion to claimant fault.</t>
        </is>
      </c>
    </row>
    <row r="34">
      <c r="A34" s="348" t="inlineStr">
        <is>
          <t>North Carolina</t>
        </is>
      </c>
      <c r="B34" s="348" t="inlineStr">
        <is>
          <t>Contributory Negligence</t>
        </is>
      </c>
      <c r="C34" s="348" t="inlineStr">
        <is>
          <t>N/A</t>
        </is>
      </c>
      <c r="D34" s="348" t="inlineStr">
        <is>
          <t>Miller v. Miller, 273 N.C. 228 (1968)</t>
        </is>
      </c>
      <c r="E34" s="348" t="inlineStr">
        <is>
          <t>https://law.justia.com/cases/north-carolina/supreme-court/1968/278-0.html</t>
        </is>
      </c>
      <c r="F34" s="348" t="inlineStr">
        <is>
          <t>North Carolina retains contributory negligence as a complete bar to ordinary negligence recovery, subject to recognized exceptions such as last clear chance.</t>
        </is>
      </c>
    </row>
    <row r="35">
      <c r="A35" s="348" t="inlineStr">
        <is>
          <t>North Dakota</t>
        </is>
      </c>
      <c r="B35" s="348" t="inlineStr">
        <is>
          <t>Modified Comparative (50%)</t>
        </is>
      </c>
      <c r="C35" s="348" t="inlineStr">
        <is>
          <t>50%</t>
        </is>
      </c>
      <c r="D35" s="348" t="inlineStr">
        <is>
          <t>N.D. Cent. Code § 32-03.2-02</t>
        </is>
      </c>
      <c r="E35" s="348" t="inlineStr">
        <is>
          <t>https://ndlegis.gov/cencode/t32c03-2.pdf</t>
        </is>
      </c>
      <c r="F35" s="348" t="inlineStr">
        <is>
          <t>Claimant is barred when claimant fault is as great as the combined fault of all other persons who contributed to the injury.</t>
        </is>
      </c>
    </row>
    <row r="36">
      <c r="A36" s="348" t="inlineStr">
        <is>
          <t>Ohio</t>
        </is>
      </c>
      <c r="B36" s="348" t="inlineStr">
        <is>
          <t>Modified Comparative (51%)</t>
        </is>
      </c>
      <c r="C36" s="348" t="inlineStr">
        <is>
          <t>51%</t>
        </is>
      </c>
      <c r="D36" s="348" t="inlineStr">
        <is>
          <t>Ohio Rev. Code § 2315.33</t>
        </is>
      </c>
      <c r="E36" s="348" t="inlineStr">
        <is>
          <t>https://codes.ohio.gov/ohio-revised-code/section-2315.33</t>
        </is>
      </c>
      <c r="F36" s="348" t="inlineStr">
        <is>
          <t>Damages are reduced by claimant percentage of tortious conduct; claimant fault greater than 50% bars recovery under Ohio comparative fault rules.</t>
        </is>
      </c>
    </row>
    <row r="37">
      <c r="A37" s="348" t="inlineStr">
        <is>
          <t>Oklahoma</t>
        </is>
      </c>
      <c r="B37" s="348" t="inlineStr">
        <is>
          <t>Modified Comparative (51%)</t>
        </is>
      </c>
      <c r="C37" s="348" t="inlineStr">
        <is>
          <t>51%</t>
        </is>
      </c>
      <c r="D37" s="348" t="inlineStr">
        <is>
          <t>Okla. Stat. tit. 23, § 13</t>
        </is>
      </c>
      <c r="E37" s="348" t="inlineStr">
        <is>
          <t>https://oksenate.gov/sites/default/files/2019-12/os23.pdf</t>
        </is>
      </c>
      <c r="F37" s="348" t="inlineStr">
        <is>
          <t>Claimant may recover unless claimant negligence is of greater degree than defendant negligence or combined negligence of persons causing the damage.</t>
        </is>
      </c>
    </row>
    <row r="38">
      <c r="A38" s="348" t="inlineStr">
        <is>
          <t>Oregon</t>
        </is>
      </c>
      <c r="B38" s="348" t="inlineStr">
        <is>
          <t>Modified Comparative (51%)</t>
        </is>
      </c>
      <c r="C38" s="348" t="inlineStr">
        <is>
          <t>51%</t>
        </is>
      </c>
      <c r="D38" s="348" t="inlineStr">
        <is>
          <t>Or. Rev. Stat. § 31.600</t>
        </is>
      </c>
      <c r="E38" s="348" t="inlineStr">
        <is>
          <t>https://www.oregonlegislature.gov/bills_laws/ors/ors031.html</t>
        </is>
      </c>
      <c r="F38" s="348" t="inlineStr">
        <is>
          <t>Claimant may recover if claimant fault is not greater than the combined fault of persons specified by statute; damages are reduced by claimant fault.</t>
        </is>
      </c>
    </row>
    <row r="39">
      <c r="A39" s="348" t="inlineStr">
        <is>
          <t>Pennsylvania</t>
        </is>
      </c>
      <c r="B39" s="348" t="inlineStr">
        <is>
          <t>Modified Comparative (51%)</t>
        </is>
      </c>
      <c r="C39" s="348" t="inlineStr">
        <is>
          <t>51%</t>
        </is>
      </c>
      <c r="D39" s="348" t="inlineStr">
        <is>
          <t>42 Pa.C.S. § 7102</t>
        </is>
      </c>
      <c r="E39" s="348" t="inlineStr">
        <is>
          <t>https://www.legis.state.pa.us/WU01/LI/LI/CT/HTM/42/00.071.002.000..HTM</t>
        </is>
      </c>
      <c r="F39" s="348" t="inlineStr">
        <is>
          <t>Claimant negligence does not bar recovery when claimant fault is not greater than defendant or aggregate defendant fault; damages are reduced proportionally.</t>
        </is>
      </c>
    </row>
    <row r="40">
      <c r="A40" s="348" t="inlineStr">
        <is>
          <t>Rhode Island</t>
        </is>
      </c>
      <c r="B40" s="348" t="inlineStr">
        <is>
          <t>Pure Comparative</t>
        </is>
      </c>
      <c r="C40" s="348" t="inlineStr">
        <is>
          <t>N/A</t>
        </is>
      </c>
      <c r="D40" s="348" t="inlineStr">
        <is>
          <t>R.I. Gen. Laws § 9-20-4</t>
        </is>
      </c>
      <c r="E40" s="348" t="inlineStr">
        <is>
          <t>https://webserver.rilegislature.gov/Statutes/TITLE9/9-20/9-20-4.HTM</t>
        </is>
      </c>
      <c r="F40" s="348" t="inlineStr">
        <is>
          <t>Claimant negligence does not bar recovery; damages are reduced in proportion to claimant negligence.</t>
        </is>
      </c>
    </row>
    <row r="41">
      <c r="A41" s="348" t="inlineStr">
        <is>
          <t>South Carolina</t>
        </is>
      </c>
      <c r="B41" s="348" t="inlineStr">
        <is>
          <t>Modified Comparative (51%)</t>
        </is>
      </c>
      <c r="C41" s="348" t="inlineStr">
        <is>
          <t>51%</t>
        </is>
      </c>
      <c r="D41" s="348" t="inlineStr">
        <is>
          <t>Nelson v. Concrete Supply Co., 303 S.C. 243, 399 S.E.2d 783 (1991)</t>
        </is>
      </c>
      <c r="E41" s="348" t="inlineStr">
        <is>
          <t>https://www.sccourts.org/opinions/htmlfiles/SC/24850.htm</t>
        </is>
      </c>
      <c r="F41" s="348" t="inlineStr">
        <is>
          <t>South Carolina follows modified comparative negligence; claimant may recover when claimant negligence does not exceed defendant negligence.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16" customWidth="1" style="355" min="2" max="2"/>
    <col width="14" customWidth="1" style="355" min="3" max="3"/>
    <col width="22" customWidth="1" style="355" min="4" max="4"/>
    <col width="18" customWidth="1" style="355" min="5" max="5"/>
    <col width="34" customWidth="1" style="355" min="6" max="6"/>
    <col width="28" customWidth="1" style="355" min="7" max="7"/>
    <col width="42" customWidth="1" style="355" min="8" max="8"/>
    <col width="58" customWidth="1" style="355" min="9" max="9"/>
  </cols>
  <sheetData>
    <row r="1">
      <c r="A1" s="221" t="inlineStr">
        <is>
          <t>State</t>
        </is>
      </c>
      <c r="B1" s="221" t="inlineStr">
        <is>
          <t>No-Fault State</t>
        </is>
      </c>
      <c r="C1" s="221" t="inlineStr">
        <is>
          <t>PIP Required</t>
        </is>
      </c>
      <c r="D1" s="221" t="inlineStr">
        <is>
          <t>Minimum PIP</t>
        </is>
      </c>
      <c r="E1" s="221" t="inlineStr">
        <is>
          <t>Tort Threshold Type</t>
        </is>
      </c>
      <c r="F1" s="221" t="inlineStr">
        <is>
          <t>Tort Threshold</t>
        </is>
      </c>
      <c r="G1" s="221" t="inlineStr">
        <is>
          <t>Citation</t>
        </is>
      </c>
      <c r="H1" s="221" t="inlineStr">
        <is>
          <t>URL</t>
        </is>
      </c>
      <c r="I1" s="221" t="inlineStr">
        <is>
          <t>Notes</t>
        </is>
      </c>
    </row>
    <row r="2">
      <c r="A2" s="348" t="inlineStr">
        <is>
          <t>Florida</t>
        </is>
      </c>
      <c r="B2" s="348" t="inlineStr">
        <is>
          <t>Yes</t>
        </is>
      </c>
      <c r="C2" s="348" t="inlineStr">
        <is>
          <t>Yes</t>
        </is>
      </c>
      <c r="D2" s="348" t="inlineStr">
        <is>
          <t>$10,000</t>
        </is>
      </c>
      <c r="E2" s="348" t="inlineStr">
        <is>
          <t>Verbal</t>
        </is>
      </c>
      <c r="F2" s="348" t="inlineStr">
        <is>
          <t>Permanent injury / significant and permanent loss</t>
        </is>
      </c>
      <c r="G2" s="348" t="inlineStr">
        <is>
          <t>Fla. Stat. §§ 627.736; 627.737</t>
        </is>
      </c>
      <c r="H2" s="348" t="inlineStr">
        <is>
          <t>https://www.leg.state.fl.us/statutes/index.cfm?App_mode=Display_Statute&amp;URL=0600-0699/0627/Sections/0627.736.html</t>
        </is>
      </c>
      <c r="I2" s="348" t="inlineStr">
        <is>
          <t>Requires PIP benefits; tort recovery for pain and suffering generally requires meeting the statutory injury threshold.</t>
        </is>
      </c>
    </row>
    <row r="3">
      <c r="A3" s="348" t="inlineStr">
        <is>
          <t>Michigan</t>
        </is>
      </c>
      <c r="B3" s="348" t="inlineStr">
        <is>
          <t>Yes</t>
        </is>
      </c>
      <c r="C3" s="348" t="inlineStr">
        <is>
          <t>Yes</t>
        </is>
      </c>
      <c r="D3" s="348" t="inlineStr">
        <is>
          <t>Choice of PIP Levels</t>
        </is>
      </c>
      <c r="E3" s="348" t="inlineStr">
        <is>
          <t>Verbal</t>
        </is>
      </c>
      <c r="F3" s="348" t="inlineStr">
        <is>
          <t>Death, serious impairment of body function, or permanent serious disfigurement</t>
        </is>
      </c>
      <c r="G3" s="348" t="inlineStr">
        <is>
          <t>MCL §§ 500.3101; 500.3107c; 500.3135</t>
        </is>
      </c>
      <c r="H3" s="348" t="inlineStr">
        <is>
          <t>https://www.legislature.mi.gov/Laws/MCL?objectName=mcl-500-3107c</t>
        </is>
      </c>
      <c r="I3" s="348" t="inlineStr">
        <is>
          <t>Michigan is a no-fault state with selectable PIP medical coverage levels and a verbal tort threshold.</t>
        </is>
      </c>
    </row>
    <row r="4">
      <c r="A4" s="348" t="inlineStr">
        <is>
          <t>New York</t>
        </is>
      </c>
      <c r="B4" s="348" t="inlineStr">
        <is>
          <t>Yes</t>
        </is>
      </c>
      <c r="C4" s="348" t="inlineStr">
        <is>
          <t>Yes</t>
        </is>
      </c>
      <c r="D4" s="348" t="inlineStr">
        <is>
          <t>$50,000</t>
        </is>
      </c>
      <c r="E4" s="348" t="inlineStr">
        <is>
          <t>Verbal</t>
        </is>
      </c>
      <c r="F4" s="348" t="inlineStr">
        <is>
          <t>Serious Injury</t>
        </is>
      </c>
      <c r="G4" s="348" t="inlineStr">
        <is>
          <t>N.Y. Ins. Law §§ 5102; 5104</t>
        </is>
      </c>
      <c r="H4" s="348" t="inlineStr">
        <is>
          <t>https://www.nysenate.gov/legislation/laws/ISC/5102</t>
        </is>
      </c>
      <c r="I4" s="348" t="inlineStr">
        <is>
          <t>Basic economic loss is generally capped at $50,000; tort claims for non-economic loss require serious injury.</t>
        </is>
      </c>
    </row>
    <row r="5">
      <c r="A5" s="348" t="inlineStr">
        <is>
          <t>New Jersey</t>
        </is>
      </c>
      <c r="B5" s="348" t="inlineStr">
        <is>
          <t>Choice</t>
        </is>
      </c>
      <c r="C5" s="348" t="inlineStr">
        <is>
          <t>Yes</t>
        </is>
      </c>
      <c r="D5" s="348" t="inlineStr">
        <is>
          <t>Varies by Policy</t>
        </is>
      </c>
      <c r="E5" s="348" t="inlineStr">
        <is>
          <t>Verbal</t>
        </is>
      </c>
      <c r="F5" s="348" t="inlineStr">
        <is>
          <t>Limitation on Lawsuit Option / No Limitation Option</t>
        </is>
      </c>
      <c r="G5" s="348" t="inlineStr">
        <is>
          <t>N.J. Stat. §§ 39:6A-4; 39:6A-8</t>
        </is>
      </c>
      <c r="H5" s="348" t="inlineStr">
        <is>
          <t>https://lis.njleg.state.nj.us/nxt/gateway.dll?f=templates&amp;fn=default.htm&amp;vid=Publish:10.1048/Enu</t>
        </is>
      </c>
      <c r="I5" s="348" t="inlineStr">
        <is>
          <t>PIP is required; lawsuit rights depend on the selected tort option.</t>
        </is>
      </c>
    </row>
    <row r="6">
      <c r="A6" s="348" t="inlineStr">
        <is>
          <t>Pennsylvania</t>
        </is>
      </c>
      <c r="B6" s="348" t="inlineStr">
        <is>
          <t>Choice</t>
        </is>
      </c>
      <c r="C6" s="348" t="inlineStr">
        <is>
          <t>Yes</t>
        </is>
      </c>
      <c r="D6" s="348" t="inlineStr">
        <is>
          <t>$5,000</t>
        </is>
      </c>
      <c r="E6" s="348" t="inlineStr">
        <is>
          <t>Hybrid</t>
        </is>
      </c>
      <c r="F6" s="348" t="inlineStr">
        <is>
          <t>Limited Tort / Full Tort Election</t>
        </is>
      </c>
      <c r="G6" s="348" t="inlineStr">
        <is>
          <t>75 Pa.C.S. §§ 1705; 1711</t>
        </is>
      </c>
      <c r="H6" s="348" t="inlineStr">
        <is>
          <t>https://www.palegis.us/statutes/consolidated/view-statute?chapter=17&amp;div=0&amp;section=5&amp;subsctn=0&amp;ttl=75&amp;txtType=HTM</t>
        </is>
      </c>
      <c r="I6" s="348" t="inlineStr">
        <is>
          <t>Medical first-party benefits are required; lawsuit rights depend on limited tort or full tort election.</t>
        </is>
      </c>
    </row>
    <row r="7">
      <c r="A7" s="348" t="inlineStr">
        <is>
          <t>Kentucky</t>
        </is>
      </c>
      <c r="B7" s="348" t="inlineStr">
        <is>
          <t>Choice</t>
        </is>
      </c>
      <c r="C7" s="348" t="inlineStr">
        <is>
          <t>Yes</t>
        </is>
      </c>
      <c r="D7" s="348" t="inlineStr">
        <is>
          <t>$10,000</t>
        </is>
      </c>
      <c r="E7" s="348" t="inlineStr">
        <is>
          <t>Hybrid</t>
        </is>
      </c>
      <c r="F7" s="348" t="inlineStr">
        <is>
          <t>$1,000 medical expenses, broken bone, permanent disfigurement, permanent injury, or death</t>
        </is>
      </c>
      <c r="G7" s="348" t="inlineStr">
        <is>
          <t>KRS §§ 304.39-020; 304.39-060</t>
        </is>
      </c>
      <c r="H7" s="348" t="inlineStr">
        <is>
          <t>https://insurance.ky.gov/ppc/newstatic_info.aspx?static_id=24</t>
        </is>
      </c>
      <c r="I7" s="348" t="inlineStr">
        <is>
          <t>Kentucky provides basic reparation benefits and allows rejection of no-fault limitations.</t>
        </is>
      </c>
    </row>
    <row r="8">
      <c r="A8" s="348" t="inlineStr">
        <is>
          <t>Minnesota</t>
        </is>
      </c>
      <c r="B8" s="348" t="inlineStr">
        <is>
          <t>Yes</t>
        </is>
      </c>
      <c r="C8" s="348" t="inlineStr">
        <is>
          <t>Yes</t>
        </is>
      </c>
      <c r="D8" s="348" t="inlineStr">
        <is>
          <t>$40,000</t>
        </is>
      </c>
      <c r="E8" s="348" t="inlineStr">
        <is>
          <t>Hybrid</t>
        </is>
      </c>
      <c r="F8" s="348" t="inlineStr">
        <is>
          <t>Death, permanent disfigurement, permanent injury, 60+ days disability, or over $4,000 medical expense</t>
        </is>
      </c>
      <c r="G8" s="348" t="inlineStr">
        <is>
          <t>Minn. Stat. §§ 65B.44; 65B.51</t>
        </is>
      </c>
      <c r="H8" s="348" t="inlineStr">
        <is>
          <t>https://www.revisor.mn.gov/statutes/cite/65B.44</t>
        </is>
      </c>
      <c r="I8" s="348" t="inlineStr">
        <is>
          <t>Basic economic loss benefits provide at least $40,000; tort recovery is limited by statutory thresholds.</t>
        </is>
      </c>
    </row>
    <row r="9">
      <c r="A9" s="348" t="inlineStr">
        <is>
          <t>Hawaii</t>
        </is>
      </c>
      <c r="B9" s="348" t="inlineStr">
        <is>
          <t>Yes</t>
        </is>
      </c>
      <c r="C9" s="348" t="inlineStr">
        <is>
          <t>Yes</t>
        </is>
      </c>
      <c r="D9" s="348" t="inlineStr">
        <is>
          <t>$10,000</t>
        </is>
      </c>
      <c r="E9" s="348" t="inlineStr">
        <is>
          <t>Hybrid</t>
        </is>
      </c>
      <c r="F9" s="348" t="inlineStr">
        <is>
          <t>Statutory tort exceptions and monetary threshold</t>
        </is>
      </c>
      <c r="G9" s="348" t="inlineStr">
        <is>
          <t>Haw. Rev. Stat. §§ 431:10C-103.5; 431:10C-306</t>
        </is>
      </c>
      <c r="H9" s="348" t="inlineStr">
        <is>
          <t>https://law.justia.com/codes/hawaii/title-24/chapter-431/section-431-10c-103-5/</t>
        </is>
      </c>
      <c r="I9" s="348" t="inlineStr">
        <is>
          <t>Hawaii requires PIP benefits and limits tort claims except under statutory exceptions.</t>
        </is>
      </c>
    </row>
    <row r="10">
      <c r="A10" s="348" t="inlineStr">
        <is>
          <t>Massachusetts</t>
        </is>
      </c>
      <c r="B10" s="348" t="inlineStr">
        <is>
          <t>Yes</t>
        </is>
      </c>
      <c r="C10" s="348" t="inlineStr">
        <is>
          <t>Yes</t>
        </is>
      </c>
      <c r="D10" s="348" t="inlineStr">
        <is>
          <t>$8,000</t>
        </is>
      </c>
      <c r="E10" s="348" t="inlineStr">
        <is>
          <t>Hybrid</t>
        </is>
      </c>
      <c r="F10" s="348" t="inlineStr">
        <is>
          <t>Over $2,000 medical expenses or specified serious injury</t>
        </is>
      </c>
      <c r="G10" s="348" t="inlineStr">
        <is>
          <t>Mass. Gen. Laws ch. 90 § 34A; ch. 231 § 6D</t>
        </is>
      </c>
      <c r="H10" s="348" t="inlineStr">
        <is>
          <t>https://malegislature.gov/Laws/GeneralLaws/PartIII/TitleII/Chapter231/Section6d</t>
        </is>
      </c>
      <c r="I10" s="348" t="inlineStr">
        <is>
          <t>Massachusetts requires PIP coverage and applies a monetary/serious-injury threshold for pain-and-suffering claims.</t>
        </is>
      </c>
    </row>
    <row r="11">
      <c r="A11" s="348" t="inlineStr">
        <is>
          <t>Utah</t>
        </is>
      </c>
      <c r="B11" s="348" t="inlineStr">
        <is>
          <t>Yes</t>
        </is>
      </c>
      <c r="C11" s="348" t="inlineStr">
        <is>
          <t>Yes</t>
        </is>
      </c>
      <c r="D11" s="348" t="inlineStr">
        <is>
          <t>$3,000</t>
        </is>
      </c>
      <c r="E11" s="348" t="inlineStr">
        <is>
          <t>Hybrid</t>
        </is>
      </c>
      <c r="F11" s="348" t="inlineStr">
        <is>
          <t>$3,000 medical expenses or specified serious injury</t>
        </is>
      </c>
      <c r="G11" s="348" t="inlineStr">
        <is>
          <t>Utah Code §§ 31A-22-307; 31A-22-309</t>
        </is>
      </c>
      <c r="H11" s="348" t="inlineStr">
        <is>
          <t>https://le.utah.gov/xcode/Title31A/Chapter22/31A-22-S309.html</t>
        </is>
      </c>
      <c r="I11" s="348" t="inlineStr">
        <is>
          <t>Utah requires PIP/direct benefit coverage and applies statutory limitations on general-damages claims.</t>
        </is>
      </c>
    </row>
    <row r="12">
      <c r="A12" s="348" t="inlineStr">
        <is>
          <t>Alabama</t>
        </is>
      </c>
      <c r="B12" s="348" t="inlineStr">
        <is>
          <t>No</t>
        </is>
      </c>
      <c r="C12" s="348" t="inlineStr">
        <is>
          <t>No</t>
        </is>
      </c>
      <c r="D12" s="348" t="inlineStr">
        <is>
          <t>None</t>
        </is>
      </c>
      <c r="E12" s="348" t="inlineStr">
        <is>
          <t>None</t>
        </is>
      </c>
      <c r="F12" s="348" t="inlineStr">
        <is>
          <t>None</t>
        </is>
      </c>
      <c r="G12" s="348" t="inlineStr">
        <is>
          <t>Ala. Code § 32-7-6</t>
        </is>
      </c>
      <c r="H12" s="348" t="inlineStr">
        <is>
          <t>https://www.revenue.alabama.gov/tax-types/mandatory-liability-insurance/</t>
        </is>
      </c>
      <c r="I12" s="348" t="inlineStr">
        <is>
          <t>Traditional tort state; PIP is not required.</t>
        </is>
      </c>
    </row>
    <row r="13">
      <c r="A13" s="348" t="inlineStr">
        <is>
          <t>Alaska</t>
        </is>
      </c>
      <c r="B13" s="348" t="inlineStr">
        <is>
          <t>No</t>
        </is>
      </c>
      <c r="C13" s="348" t="inlineStr">
        <is>
          <t>No</t>
        </is>
      </c>
      <c r="D13" s="348" t="inlineStr">
        <is>
          <t>None</t>
        </is>
      </c>
      <c r="E13" s="348" t="inlineStr">
        <is>
          <t>None</t>
        </is>
      </c>
      <c r="F13" s="348" t="inlineStr">
        <is>
          <t>None</t>
        </is>
      </c>
      <c r="G13" s="348" t="inlineStr">
        <is>
          <t>AS § 28.22.101</t>
        </is>
      </c>
      <c r="H13" s="348" t="inlineStr">
        <is>
          <t>https://www.akleg.gov/basis/statutes.asp</t>
        </is>
      </c>
      <c r="I13" s="348" t="inlineStr">
        <is>
          <t>Traditional tort state; PIP is not required.</t>
        </is>
      </c>
    </row>
    <row r="14">
      <c r="A14" s="348" t="inlineStr">
        <is>
          <t>Arizona</t>
        </is>
      </c>
      <c r="B14" s="348" t="inlineStr">
        <is>
          <t>No</t>
        </is>
      </c>
      <c r="C14" s="348" t="inlineStr">
        <is>
          <t>No</t>
        </is>
      </c>
      <c r="D14" s="348" t="inlineStr">
        <is>
          <t>None</t>
        </is>
      </c>
      <c r="E14" s="348" t="inlineStr">
        <is>
          <t>None</t>
        </is>
      </c>
      <c r="F14" s="348" t="inlineStr">
        <is>
          <t>None</t>
        </is>
      </c>
      <c r="G14" s="348" t="inlineStr">
        <is>
          <t>A.R.S. § 28-4009</t>
        </is>
      </c>
      <c r="H14" s="348" t="inlineStr">
        <is>
          <t>https://www.azleg.gov/arsDetail/?title=28</t>
        </is>
      </c>
      <c r="I14" s="348" t="inlineStr">
        <is>
          <t>Traditional tort state; PIP is not required.</t>
        </is>
      </c>
    </row>
    <row r="15">
      <c r="A15" s="348" t="inlineStr">
        <is>
          <t>Arkansas</t>
        </is>
      </c>
      <c r="B15" s="348" t="inlineStr">
        <is>
          <t>No</t>
        </is>
      </c>
      <c r="C15" s="348" t="inlineStr">
        <is>
          <t>Optional</t>
        </is>
      </c>
      <c r="D15" s="348" t="inlineStr">
        <is>
          <t>$5,000</t>
        </is>
      </c>
      <c r="E15" s="348" t="inlineStr">
        <is>
          <t>None</t>
        </is>
      </c>
      <c r="F15" s="348" t="inlineStr">
        <is>
          <t>None</t>
        </is>
      </c>
      <c r="G15" s="348" t="inlineStr">
        <is>
          <t>Ark. Code Ann. §§ 23-89-202; 23-89-203</t>
        </is>
      </c>
      <c r="H15" s="348" t="inlineStr">
        <is>
          <t>https://arkleg.state.ar.us/ArkansasLaw</t>
        </is>
      </c>
      <c r="I15" s="348" t="inlineStr">
        <is>
          <t>Arkansas is a tort state, but policies include first-party no-fault benefits unless rejected.</t>
        </is>
      </c>
    </row>
    <row r="16">
      <c r="A16" s="348" t="inlineStr">
        <is>
          <t>California</t>
        </is>
      </c>
      <c r="B16" s="348" t="inlineStr">
        <is>
          <t>No</t>
        </is>
      </c>
      <c r="C16" s="348" t="inlineStr">
        <is>
          <t>No</t>
        </is>
      </c>
      <c r="D16" s="348" t="inlineStr">
        <is>
          <t>None</t>
        </is>
      </c>
      <c r="E16" s="348" t="inlineStr">
        <is>
          <t>None</t>
        </is>
      </c>
      <c r="F16" s="348" t="inlineStr">
        <is>
          <t>None</t>
        </is>
      </c>
      <c r="G16" s="348" t="inlineStr">
        <is>
          <t>Cal. Veh. Code § 16056</t>
        </is>
      </c>
      <c r="H16" s="348" t="inlineStr">
        <is>
          <t>https://leginfo.legislature.ca.gov/faces/codes_displaySection.xhtml?sectionNum=16056&amp;lawCode=VEH</t>
        </is>
      </c>
      <c r="I16" s="348" t="inlineStr">
        <is>
          <t>Traditional tort state; PIP is not required.</t>
        </is>
      </c>
    </row>
    <row r="17">
      <c r="A17" s="348" t="inlineStr">
        <is>
          <t>Colorado</t>
        </is>
      </c>
      <c r="B17" s="348" t="inlineStr">
        <is>
          <t>No</t>
        </is>
      </c>
      <c r="C17" s="348" t="inlineStr">
        <is>
          <t>No</t>
        </is>
      </c>
      <c r="D17" s="348" t="inlineStr">
        <is>
          <t>None</t>
        </is>
      </c>
      <c r="E17" s="348" t="inlineStr">
        <is>
          <t>None</t>
        </is>
      </c>
      <c r="F17" s="348" t="inlineStr">
        <is>
          <t>None</t>
        </is>
      </c>
      <c r="G17" s="348" t="inlineStr">
        <is>
          <t>Colo. Rev. Stat. Title 10, Article 4</t>
        </is>
      </c>
      <c r="H17" s="348" t="inlineStr">
        <is>
          <t>https://leg.colorado.gov/colorado-revised-statutes</t>
        </is>
      </c>
      <c r="I17" s="348" t="inlineStr">
        <is>
          <t>Former no-fault state; currently operates under a tort-based auto insurance system.</t>
        </is>
      </c>
    </row>
    <row r="18">
      <c r="A18" s="348" t="inlineStr">
        <is>
          <t>Connecticut</t>
        </is>
      </c>
      <c r="B18" s="348" t="inlineStr">
        <is>
          <t>No</t>
        </is>
      </c>
      <c r="C18" s="348" t="inlineStr">
        <is>
          <t>No</t>
        </is>
      </c>
      <c r="D18" s="348" t="inlineStr">
        <is>
          <t>None</t>
        </is>
      </c>
      <c r="E18" s="348" t="inlineStr">
        <is>
          <t>None</t>
        </is>
      </c>
      <c r="F18" s="348" t="inlineStr">
        <is>
          <t>None</t>
        </is>
      </c>
      <c r="G18" s="348" t="inlineStr">
        <is>
          <t>Conn. OLR Report 2016-R-0255</t>
        </is>
      </c>
      <c r="H18" s="348" t="inlineStr">
        <is>
          <t>https://www.cga.ct.gov/2016/rpt/2016-R-0255.htm</t>
        </is>
      </c>
      <c r="I18" s="348" t="inlineStr">
        <is>
          <t>Connecticut is no longer a no-fault state; PIP is not required.</t>
        </is>
      </c>
    </row>
    <row r="19">
      <c r="A19" s="348" t="inlineStr">
        <is>
          <t>Delaware</t>
        </is>
      </c>
      <c r="B19" s="348" t="inlineStr">
        <is>
          <t>No</t>
        </is>
      </c>
      <c r="C19" s="348" t="inlineStr">
        <is>
          <t>Yes</t>
        </is>
      </c>
      <c r="D19" s="348" t="inlineStr">
        <is>
          <t>$15,000</t>
        </is>
      </c>
      <c r="E19" s="348" t="inlineStr">
        <is>
          <t>None</t>
        </is>
      </c>
      <c r="F19" s="348" t="inlineStr">
        <is>
          <t>None</t>
        </is>
      </c>
      <c r="G19" s="348" t="inlineStr">
        <is>
          <t>21 Del. C. § 2118</t>
        </is>
      </c>
      <c r="H19" s="348" t="inlineStr">
        <is>
          <t>https://delcode.delaware.gov/title21/c021/sc01/index.html#2118</t>
        </is>
      </c>
      <c r="I19" s="348" t="inlineStr">
        <is>
          <t>Delaware requires PIP benefits, but does not use a no-fault tort threshold limiting lawsuits.</t>
        </is>
      </c>
    </row>
    <row r="20">
      <c r="A20" s="348" t="inlineStr">
        <is>
          <t>Georgia</t>
        </is>
      </c>
      <c r="B20" s="348" t="inlineStr">
        <is>
          <t>No</t>
        </is>
      </c>
      <c r="C20" s="348" t="inlineStr">
        <is>
          <t>No</t>
        </is>
      </c>
      <c r="D20" s="348" t="inlineStr">
        <is>
          <t>None</t>
        </is>
      </c>
      <c r="E20" s="348" t="inlineStr">
        <is>
          <t>None</t>
        </is>
      </c>
      <c r="F20" s="348" t="inlineStr">
        <is>
          <t>None</t>
        </is>
      </c>
      <c r="G20" s="348" t="inlineStr">
        <is>
          <t>O.C.G.A. § 33-34-4</t>
        </is>
      </c>
      <c r="H20" s="348" t="inlineStr">
        <is>
          <t>https://www.legis.ga.gov</t>
        </is>
      </c>
      <c r="I20" s="348" t="inlineStr">
        <is>
          <t>Traditional tort state; no-fault requirements were repealed.</t>
        </is>
      </c>
    </row>
    <row r="21">
      <c r="A21" s="348" t="inlineStr">
        <is>
          <t>Idaho</t>
        </is>
      </c>
      <c r="B21" s="348" t="inlineStr">
        <is>
          <t>No</t>
        </is>
      </c>
      <c r="C21" s="348" t="inlineStr">
        <is>
          <t>No</t>
        </is>
      </c>
      <c r="D21" s="348" t="inlineStr">
        <is>
          <t>None</t>
        </is>
      </c>
      <c r="E21" s="348" t="inlineStr">
        <is>
          <t>None</t>
        </is>
      </c>
      <c r="F21" s="348" t="inlineStr">
        <is>
          <t>None</t>
        </is>
      </c>
      <c r="G21" s="348" t="inlineStr">
        <is>
          <t>Idaho Code § 49-117; Idaho DOI Required Auto Coverage</t>
        </is>
      </c>
      <c r="H21" s="348" t="inlineStr">
        <is>
          <t>https://doi.idaho.gov/consumers/auto-insurance/required-auto-coverage/</t>
        </is>
      </c>
      <c r="I21" s="348" t="inlineStr">
        <is>
          <t>Traditional tort state; PIP is not required.</t>
        </is>
      </c>
    </row>
    <row r="22">
      <c r="A22" s="348" t="inlineStr">
        <is>
          <t>Illinois</t>
        </is>
      </c>
      <c r="B22" s="348" t="inlineStr">
        <is>
          <t>No</t>
        </is>
      </c>
      <c r="C22" s="348" t="inlineStr">
        <is>
          <t>No</t>
        </is>
      </c>
      <c r="D22" s="348" t="inlineStr">
        <is>
          <t>None</t>
        </is>
      </c>
      <c r="E22" s="348" t="inlineStr">
        <is>
          <t>None</t>
        </is>
      </c>
      <c r="F22" s="348" t="inlineStr">
        <is>
          <t>None</t>
        </is>
      </c>
      <c r="G22" s="348" t="inlineStr">
        <is>
          <t>625 ILCS 5/7-601</t>
        </is>
      </c>
      <c r="H22" s="348" t="inlineStr">
        <is>
          <t>https://www.ilga.gov/legislation/ilcs/ilcs3.asp?ActID=1815&amp;ChapterID=49</t>
        </is>
      </c>
      <c r="I22" s="348" t="inlineStr">
        <is>
          <t>Traditional tort state; PIP is not required.</t>
        </is>
      </c>
    </row>
    <row r="23">
      <c r="A23" s="348" t="inlineStr">
        <is>
          <t>Indiana</t>
        </is>
      </c>
      <c r="B23" s="348" t="inlineStr">
        <is>
          <t>No</t>
        </is>
      </c>
      <c r="C23" s="348" t="inlineStr">
        <is>
          <t>No</t>
        </is>
      </c>
      <c r="D23" s="348" t="inlineStr">
        <is>
          <t>None</t>
        </is>
      </c>
      <c r="E23" s="348" t="inlineStr">
        <is>
          <t>None</t>
        </is>
      </c>
      <c r="F23" s="348" t="inlineStr">
        <is>
          <t>None</t>
        </is>
      </c>
      <c r="G23" s="348" t="inlineStr">
        <is>
          <t>Ind. Code § 9-25-4-5</t>
        </is>
      </c>
      <c r="H23" s="348" t="inlineStr">
        <is>
          <t>https://iga.in.gov/laws/2025/ic/titles/9#9-25-4-5</t>
        </is>
      </c>
      <c r="I23" s="348" t="inlineStr">
        <is>
          <t>Traditional tort state; PIP is not required.</t>
        </is>
      </c>
    </row>
    <row r="24">
      <c r="A24" s="348" t="inlineStr">
        <is>
          <t>Iowa</t>
        </is>
      </c>
      <c r="B24" s="348" t="inlineStr">
        <is>
          <t>No</t>
        </is>
      </c>
      <c r="C24" s="348" t="inlineStr">
        <is>
          <t>No</t>
        </is>
      </c>
      <c r="D24" s="348" t="inlineStr">
        <is>
          <t>None</t>
        </is>
      </c>
      <c r="E24" s="348" t="inlineStr">
        <is>
          <t>None</t>
        </is>
      </c>
      <c r="F24" s="348" t="inlineStr">
        <is>
          <t>None</t>
        </is>
      </c>
      <c r="G24" s="348" t="inlineStr">
        <is>
          <t>Iowa Code § 321A.21</t>
        </is>
      </c>
      <c r="H24" s="348" t="inlineStr">
        <is>
          <t>https://www.legis.iowa.gov/law/iowaCode</t>
        </is>
      </c>
      <c r="I24" s="348" t="inlineStr">
        <is>
          <t>Traditional tort state; PIP is not required.</t>
        </is>
      </c>
    </row>
    <row r="25">
      <c r="A25" s="348" t="inlineStr">
        <is>
          <t>Kansas</t>
        </is>
      </c>
      <c r="B25" s="348" t="inlineStr">
        <is>
          <t>Yes</t>
        </is>
      </c>
      <c r="C25" s="348" t="inlineStr">
        <is>
          <t>Yes</t>
        </is>
      </c>
      <c r="D25" s="348" t="inlineStr">
        <is>
          <t>$4,500 medical benefits</t>
        </is>
      </c>
      <c r="E25" s="348" t="inlineStr">
        <is>
          <t>Hybrid</t>
        </is>
      </c>
      <c r="F25" s="348" t="inlineStr">
        <is>
          <t>$2,000 medical expense or specified serious injury</t>
        </is>
      </c>
      <c r="G25" s="348" t="inlineStr">
        <is>
          <t>K.S.A. §§ 40-3107; 40-3117</t>
        </is>
      </c>
      <c r="H25" s="348" t="inlineStr">
        <is>
          <t>https://ksrevisor.gov/statutes/chapters/ch40/040_031_0017.html</t>
        </is>
      </c>
      <c r="I25" s="348" t="inlineStr">
        <is>
          <t>Kansas is a no-fault state with mandatory PIP benefits and statutory tort thresholds.</t>
        </is>
      </c>
    </row>
    <row r="26">
      <c r="A26" s="348" t="inlineStr">
        <is>
          <t>Louisiana</t>
        </is>
      </c>
      <c r="B26" s="348" t="inlineStr">
        <is>
          <t>No</t>
        </is>
      </c>
      <c r="C26" s="348" t="inlineStr">
        <is>
          <t>No</t>
        </is>
      </c>
      <c r="D26" s="348" t="inlineStr">
        <is>
          <t>None</t>
        </is>
      </c>
      <c r="E26" s="348" t="inlineStr">
        <is>
          <t>None</t>
        </is>
      </c>
      <c r="F26" s="348" t="inlineStr">
        <is>
          <t>None</t>
        </is>
      </c>
      <c r="G26" s="348" t="inlineStr">
        <is>
          <t>La. R.S. § 32:861</t>
        </is>
      </c>
      <c r="H26" s="348" t="inlineStr">
        <is>
          <t>https://legis.la.gov/legis/Law.aspx?d=88211</t>
        </is>
      </c>
      <c r="I26" s="348" t="inlineStr">
        <is>
          <t>Traditional tort state; PIP is not required.</t>
        </is>
      </c>
    </row>
    <row r="27">
      <c r="A27" s="348" t="inlineStr">
        <is>
          <t>Maine</t>
        </is>
      </c>
      <c r="B27" s="348" t="inlineStr">
        <is>
          <t>No</t>
        </is>
      </c>
      <c r="C27" s="348" t="inlineStr">
        <is>
          <t>No</t>
        </is>
      </c>
      <c r="D27" s="348" t="inlineStr">
        <is>
          <t>None</t>
        </is>
      </c>
      <c r="E27" s="348" t="inlineStr">
        <is>
          <t>None</t>
        </is>
      </c>
      <c r="F27" s="348" t="inlineStr">
        <is>
          <t>None</t>
        </is>
      </c>
      <c r="G27" s="348" t="inlineStr">
        <is>
          <t>29-A M.R.S. §§ 1605; 1605-A</t>
        </is>
      </c>
      <c r="H27" s="348" t="inlineStr">
        <is>
          <t>https://legislature.maine.gov/statutes/29-A/title29-Asec1605-A.html</t>
        </is>
      </c>
      <c r="I27" s="348" t="inlineStr">
        <is>
          <t>Traditional tort state; PIP is not required. Maine requires separate medical payments coverage.</t>
        </is>
      </c>
    </row>
    <row r="28">
      <c r="A28" s="348" t="inlineStr">
        <is>
          <t>Maryland</t>
        </is>
      </c>
      <c r="B28" s="348" t="inlineStr">
        <is>
          <t>No</t>
        </is>
      </c>
      <c r="C28" s="348" t="inlineStr">
        <is>
          <t>Yes</t>
        </is>
      </c>
      <c r="D28" s="348" t="inlineStr">
        <is>
          <t>$2,500</t>
        </is>
      </c>
      <c r="E28" s="348" t="inlineStr">
        <is>
          <t>None</t>
        </is>
      </c>
      <c r="F28" s="348" t="inlineStr">
        <is>
          <t>None</t>
        </is>
      </c>
      <c r="G28" s="348" t="inlineStr">
        <is>
          <t>Md. Code Ann., Ins. §§ 19-505; 19-506</t>
        </is>
      </c>
      <c r="H28" s="348" t="inlineStr">
        <is>
          <t>https://mgaleg.maryland.gov/mgawebsite/Laws/StatuteText?article=gin&amp;section=19-505</t>
        </is>
      </c>
      <c r="I28" s="348" t="inlineStr">
        <is>
          <t>PIP benefits apply unless waived or rejected as permitted by statute; no tort threshold limits lawsuits.</t>
        </is>
      </c>
    </row>
    <row r="29">
      <c r="A29" s="348" t="inlineStr">
        <is>
          <t>Mississippi</t>
        </is>
      </c>
      <c r="B29" s="348" t="inlineStr">
        <is>
          <t>No</t>
        </is>
      </c>
      <c r="C29" s="348" t="inlineStr">
        <is>
          <t>No</t>
        </is>
      </c>
      <c r="D29" s="348" t="inlineStr">
        <is>
          <t>None</t>
        </is>
      </c>
      <c r="E29" s="348" t="inlineStr">
        <is>
          <t>None</t>
        </is>
      </c>
      <c r="F29" s="348" t="inlineStr">
        <is>
          <t>None</t>
        </is>
      </c>
      <c r="G29" s="348" t="inlineStr">
        <is>
          <t>Miss. Code Ann. § 63-15-3</t>
        </is>
      </c>
      <c r="H29" s="348" t="inlineStr">
        <is>
          <t>https://www.mid.ms.gov/mississippi-insurance-department/consumers/auto-insurance/</t>
        </is>
      </c>
      <c r="I29" s="348" t="inlineStr">
        <is>
          <t>Traditional tort state; PIP is not required.</t>
        </is>
      </c>
    </row>
    <row r="30">
      <c r="A30" s="348" t="inlineStr">
        <is>
          <t>Missouri</t>
        </is>
      </c>
      <c r="B30" s="348" t="inlineStr">
        <is>
          <t>No</t>
        </is>
      </c>
      <c r="C30" s="348" t="inlineStr">
        <is>
          <t>No</t>
        </is>
      </c>
      <c r="D30" s="348" t="inlineStr">
        <is>
          <t>None</t>
        </is>
      </c>
      <c r="E30" s="348" t="inlineStr">
        <is>
          <t>None</t>
        </is>
      </c>
      <c r="F30" s="348" t="inlineStr">
        <is>
          <t>None</t>
        </is>
      </c>
      <c r="G30" s="348" t="inlineStr">
        <is>
          <t>Mo. Rev. Stat. § 303.025</t>
        </is>
      </c>
      <c r="H30" s="348" t="inlineStr">
        <is>
          <t>https://revisor.mo.gov/main/OneSection.aspx?section=303.025</t>
        </is>
      </c>
      <c r="I30" s="348" t="inlineStr">
        <is>
          <t>Traditional tort state; PIP is not required.</t>
        </is>
      </c>
    </row>
    <row r="31">
      <c r="A31" s="348" t="inlineStr">
        <is>
          <t>Montana</t>
        </is>
      </c>
      <c r="B31" s="348" t="inlineStr">
        <is>
          <t>No</t>
        </is>
      </c>
      <c r="C31" s="348" t="inlineStr">
        <is>
          <t>No</t>
        </is>
      </c>
      <c r="D31" s="348" t="inlineStr">
        <is>
          <t>None</t>
        </is>
      </c>
      <c r="E31" s="348" t="inlineStr">
        <is>
          <t>None</t>
        </is>
      </c>
      <c r="F31" s="348" t="inlineStr">
        <is>
          <t>None</t>
        </is>
      </c>
      <c r="G31" s="348" t="inlineStr">
        <is>
          <t>Mont. Code Ann. § 61-6-301</t>
        </is>
      </c>
      <c r="H31" s="348" t="inlineStr">
        <is>
          <t>https://leg.mt.gov/bills/mca/title_0610/chapter_0060/part_0030/section_0010/0610-0060-0030-0010.html</t>
        </is>
      </c>
      <c r="I31" s="348" t="inlineStr">
        <is>
          <t>Traditional tort state; PIP is not required.</t>
        </is>
      </c>
    </row>
    <row r="32">
      <c r="A32" s="348" t="inlineStr">
        <is>
          <t>Nebraska</t>
        </is>
      </c>
      <c r="B32" s="348" t="inlineStr">
        <is>
          <t>No</t>
        </is>
      </c>
      <c r="C32" s="348" t="inlineStr">
        <is>
          <t>No</t>
        </is>
      </c>
      <c r="D32" s="348" t="inlineStr">
        <is>
          <t>None</t>
        </is>
      </c>
      <c r="E32" s="348" t="inlineStr">
        <is>
          <t>None</t>
        </is>
      </c>
      <c r="F32" s="348" t="inlineStr">
        <is>
          <t>None</t>
        </is>
      </c>
      <c r="G32" s="348" t="inlineStr">
        <is>
          <t>Neb. Rev. Stat. § 60-310</t>
        </is>
      </c>
      <c r="H32" s="348" t="inlineStr">
        <is>
          <t>https://nebraskalegislature.gov/laws/statutes.php?statute=60-310</t>
        </is>
      </c>
      <c r="I32" s="348" t="inlineStr">
        <is>
          <t>Traditional tort state; PIP is not required.</t>
        </is>
      </c>
    </row>
    <row r="33">
      <c r="A33" s="348" t="inlineStr">
        <is>
          <t>Nevada</t>
        </is>
      </c>
      <c r="B33" s="348" t="inlineStr">
        <is>
          <t>No</t>
        </is>
      </c>
      <c r="C33" s="348" t="inlineStr">
        <is>
          <t>No</t>
        </is>
      </c>
      <c r="D33" s="348" t="inlineStr">
        <is>
          <t>None</t>
        </is>
      </c>
      <c r="E33" s="348" t="inlineStr">
        <is>
          <t>None</t>
        </is>
      </c>
      <c r="F33" s="348" t="inlineStr">
        <is>
          <t>None</t>
        </is>
      </c>
      <c r="G33" s="348" t="inlineStr">
        <is>
          <t>NRS § 485.185</t>
        </is>
      </c>
      <c r="H33" s="348" t="inlineStr">
        <is>
          <t>https://www.leg.state.nv.us/NRS/NRS-485.html#NRS485Sec185</t>
        </is>
      </c>
      <c r="I33" s="348" t="inlineStr">
        <is>
          <t>Traditional tort state; PIP is not required.</t>
        </is>
      </c>
    </row>
    <row r="34">
      <c r="A34" s="348" t="inlineStr">
        <is>
          <t>New Hampshire</t>
        </is>
      </c>
      <c r="B34" s="348" t="inlineStr">
        <is>
          <t>No</t>
        </is>
      </c>
      <c r="C34" s="348" t="inlineStr">
        <is>
          <t>No</t>
        </is>
      </c>
      <c r="D34" s="348" t="inlineStr">
        <is>
          <t>None</t>
        </is>
      </c>
      <c r="E34" s="348" t="inlineStr">
        <is>
          <t>None</t>
        </is>
      </c>
      <c r="F34" s="348" t="inlineStr">
        <is>
          <t>None</t>
        </is>
      </c>
      <c r="G34" s="348" t="inlineStr">
        <is>
          <t>N.H. Rev. Stat. § 264:16</t>
        </is>
      </c>
      <c r="H34" s="348" t="inlineStr">
        <is>
          <t>https://www.gencourt.state.nh.us/rsa/html/XXI/264/264-16.htm</t>
        </is>
      </c>
      <c r="I34" s="348" t="inlineStr">
        <is>
          <t>Traditional tort state; PIP is not required. If auto insurance is purchased, medical payments coverage is required.</t>
        </is>
      </c>
    </row>
    <row r="35">
      <c r="A35" s="348" t="inlineStr">
        <is>
          <t>New Mexico</t>
        </is>
      </c>
      <c r="B35" s="348" t="inlineStr">
        <is>
          <t>No</t>
        </is>
      </c>
      <c r="C35" s="348" t="inlineStr">
        <is>
          <t>No</t>
        </is>
      </c>
      <c r="D35" s="348" t="inlineStr">
        <is>
          <t>None</t>
        </is>
      </c>
      <c r="E35" s="348" t="inlineStr">
        <is>
          <t>None</t>
        </is>
      </c>
      <c r="F35" s="348" t="inlineStr">
        <is>
          <t>None</t>
        </is>
      </c>
      <c r="G35" s="348" t="inlineStr">
        <is>
          <t>NMSA § 66-5-215</t>
        </is>
      </c>
      <c r="H35" s="348" t="inlineStr">
        <is>
          <t>https://nmonesource.com/nmos/nmsa/en/item/4426/index.do</t>
        </is>
      </c>
      <c r="I35" s="348" t="inlineStr">
        <is>
          <t>Traditional tort state; PIP is not required.</t>
        </is>
      </c>
    </row>
    <row r="36">
      <c r="A36" s="348" t="inlineStr">
        <is>
          <t>North Carolina</t>
        </is>
      </c>
      <c r="B36" s="348" t="inlineStr">
        <is>
          <t>No</t>
        </is>
      </c>
      <c r="C36" s="348" t="inlineStr">
        <is>
          <t>No</t>
        </is>
      </c>
      <c r="D36" s="348" t="inlineStr">
        <is>
          <t>None</t>
        </is>
      </c>
      <c r="E36" s="348" t="inlineStr">
        <is>
          <t>None</t>
        </is>
      </c>
      <c r="F36" s="348" t="inlineStr">
        <is>
          <t>None</t>
        </is>
      </c>
      <c r="G36" s="348" t="inlineStr">
        <is>
          <t>N.C. Gen. Stat. § 20-279.21</t>
        </is>
      </c>
      <c r="H36" s="348" t="inlineStr">
        <is>
          <t>https://www.ncleg.gov/EnactedLegislation/Statutes/HTML/BySection/Chapter_20/GS_20-279.21.html</t>
        </is>
      </c>
      <c r="I36" s="348" t="inlineStr">
        <is>
          <t>Traditional tort state; PIP is not required.</t>
        </is>
      </c>
    </row>
    <row r="37">
      <c r="A37" s="348" t="inlineStr">
        <is>
          <t>North Dakota</t>
        </is>
      </c>
      <c r="B37" s="348" t="inlineStr">
        <is>
          <t>Yes</t>
        </is>
      </c>
      <c r="C37" s="348" t="inlineStr">
        <is>
          <t>Yes</t>
        </is>
      </c>
      <c r="D37" s="348" t="inlineStr">
        <is>
          <t>$30,000</t>
        </is>
      </c>
      <c r="E37" s="348" t="inlineStr">
        <is>
          <t>Hybrid</t>
        </is>
      </c>
      <c r="F37" s="348" t="inlineStr">
        <is>
          <t>$2,500 medical expense or serious injury</t>
        </is>
      </c>
      <c r="G37" s="348" t="inlineStr">
        <is>
          <t>N.D.C.C. ch. 26.1-41</t>
        </is>
      </c>
      <c r="H37" s="348" t="inlineStr">
        <is>
          <t>https://ndlegis.gov/cencode/t26-1c41.pdf</t>
        </is>
      </c>
      <c r="I37" s="348" t="inlineStr">
        <is>
          <t>North Dakota is a no-fault state with mandatory basic no-fault benefits and statutory tort limitations.</t>
        </is>
      </c>
    </row>
    <row r="38">
      <c r="A38" s="348" t="inlineStr">
        <is>
          <t>Ohio</t>
        </is>
      </c>
      <c r="B38" s="348" t="inlineStr">
        <is>
          <t>No</t>
        </is>
      </c>
      <c r="C38" s="348" t="inlineStr">
        <is>
          <t>No</t>
        </is>
      </c>
      <c r="D38" s="348" t="inlineStr">
        <is>
          <t>None</t>
        </is>
      </c>
      <c r="E38" s="348" t="inlineStr">
        <is>
          <t>None</t>
        </is>
      </c>
      <c r="F38" s="348" t="inlineStr">
        <is>
          <t>None</t>
        </is>
      </c>
      <c r="G38" s="348" t="inlineStr">
        <is>
          <t>Ohio Rev. Code § 4509.101</t>
        </is>
      </c>
      <c r="H38" s="348" t="inlineStr">
        <is>
          <t>https://codes.ohio.gov/ohio-revised-code/section-4509.101</t>
        </is>
      </c>
      <c r="I38" s="348" t="inlineStr">
        <is>
          <t>Traditional tort state; PIP is not required.</t>
        </is>
      </c>
    </row>
    <row r="39">
      <c r="A39" s="348" t="inlineStr">
        <is>
          <t>Oklahoma</t>
        </is>
      </c>
      <c r="B39" s="348" t="inlineStr">
        <is>
          <t>No</t>
        </is>
      </c>
      <c r="C39" s="348" t="inlineStr">
        <is>
          <t>No</t>
        </is>
      </c>
      <c r="D39" s="348" t="inlineStr">
        <is>
          <t>None</t>
        </is>
      </c>
      <c r="E39" s="348" t="inlineStr">
        <is>
          <t>None</t>
        </is>
      </c>
      <c r="F39" s="348" t="inlineStr">
        <is>
          <t>None</t>
        </is>
      </c>
      <c r="G39" s="348" t="inlineStr">
        <is>
          <t>Okla. Stat. tit. 47 § 7-600</t>
        </is>
      </c>
      <c r="H39" s="348" t="inlineStr">
        <is>
          <t>https://www.oscn.net/applications/oscn/DeliverDocument.asp?CiteID=82366</t>
        </is>
      </c>
      <c r="I39" s="348" t="inlineStr">
        <is>
          <t>Traditional tort state; PIP is not required.</t>
        </is>
      </c>
    </row>
    <row r="40">
      <c r="A40" s="348" t="inlineStr">
        <is>
          <t>Oregon</t>
        </is>
      </c>
      <c r="B40" s="348" t="inlineStr">
        <is>
          <t>No</t>
        </is>
      </c>
      <c r="C40" s="348" t="inlineStr">
        <is>
          <t>Yes</t>
        </is>
      </c>
      <c r="D40" s="348" t="inlineStr">
        <is>
          <t>$15,000</t>
        </is>
      </c>
      <c r="E40" s="348" t="inlineStr">
        <is>
          <t>None</t>
        </is>
      </c>
      <c r="F40" s="348" t="inlineStr">
        <is>
          <t>None</t>
        </is>
      </c>
      <c r="G40" s="348" t="inlineStr">
        <is>
          <t>ORS §§ 742.520; 742.524</t>
        </is>
      </c>
      <c r="H40" s="348" t="inlineStr">
        <is>
          <t>https://www.oregon.gov/odot/dmv/pages/driverid/insurance.aspx</t>
        </is>
      </c>
      <c r="I40" s="348" t="inlineStr">
        <is>
          <t>Oregon requires PIP benefits but does not use a no-fault tort threshold limiting lawsuits.</t>
        </is>
      </c>
    </row>
    <row r="41">
      <c r="A41" s="348" t="inlineStr">
        <is>
          <t>Rhode Island</t>
        </is>
      </c>
      <c r="B41" s="348" t="inlineStr">
        <is>
          <t>No</t>
        </is>
      </c>
      <c r="C41" s="348" t="inlineStr">
        <is>
          <t>No</t>
        </is>
      </c>
      <c r="D41" s="348" t="inlineStr">
        <is>
          <t>None</t>
        </is>
      </c>
      <c r="E41" s="348" t="inlineStr">
        <is>
          <t>None</t>
        </is>
      </c>
      <c r="F41" s="348" t="inlineStr">
        <is>
          <t>None</t>
        </is>
      </c>
      <c r="G41" s="348" t="inlineStr">
        <is>
          <t>R.I. Gen. Laws § 31-31-7</t>
        </is>
      </c>
      <c r="H41" s="348" t="inlineStr">
        <is>
          <t>https://webserver.rilegislature.gov/Statutes/TITLE31/31-31/31-31-7.htm</t>
        </is>
      </c>
      <c r="I41" s="348" t="inlineStr">
        <is>
          <t>Traditional tort state; PIP is not required.</t>
        </is>
      </c>
    </row>
    <row r="42">
      <c r="A42" s="348" t="inlineStr">
        <is>
          <t>South Carolina</t>
        </is>
      </c>
      <c r="B42" s="348" t="inlineStr">
        <is>
          <t>No</t>
        </is>
      </c>
      <c r="C42" s="348" t="inlineStr">
        <is>
          <t>No</t>
        </is>
      </c>
      <c r="D42" s="348" t="inlineStr">
        <is>
          <t>None</t>
        </is>
      </c>
      <c r="E42" s="348" t="inlineStr">
        <is>
          <t>None</t>
        </is>
      </c>
      <c r="F42" s="348" t="inlineStr">
        <is>
          <t>None</t>
        </is>
      </c>
      <c r="G42" s="348" t="inlineStr">
        <is>
          <t>S.C. Code § 38-77-140</t>
        </is>
      </c>
      <c r="H42" s="348" t="inlineStr">
        <is>
          <t>https://www.scstatehouse.gov/code/t38c077.php</t>
        </is>
      </c>
      <c r="I42" s="348" t="inlineStr">
        <is>
          <t>Traditional tort state; PIP is not required.</t>
        </is>
      </c>
    </row>
    <row r="43">
      <c r="A43" s="348" t="inlineStr">
        <is>
          <t>South Dakota</t>
        </is>
      </c>
      <c r="B43" s="348" t="inlineStr">
        <is>
          <t>No</t>
        </is>
      </c>
      <c r="C43" s="348" t="inlineStr">
        <is>
          <t>No</t>
        </is>
      </c>
      <c r="D43" s="348" t="inlineStr">
        <is>
          <t>None</t>
        </is>
      </c>
      <c r="E43" s="348" t="inlineStr">
        <is>
          <t>None</t>
        </is>
      </c>
      <c r="F43" s="348" t="inlineStr">
        <is>
          <t>None</t>
        </is>
      </c>
      <c r="G43" s="348" t="inlineStr">
        <is>
          <t>SDCL § 32-35-70</t>
        </is>
      </c>
      <c r="H43" s="348" t="inlineStr">
        <is>
          <t>https://sdlegislature.gov/Statutes/32-35-70</t>
        </is>
      </c>
      <c r="I43" s="348" t="inlineStr">
        <is>
          <t>Traditional tort state; PIP is not required.</t>
        </is>
      </c>
    </row>
    <row r="44">
      <c r="A44" s="348" t="inlineStr">
        <is>
          <t>Tennessee</t>
        </is>
      </c>
      <c r="B44" s="348" t="inlineStr">
        <is>
          <t>No</t>
        </is>
      </c>
      <c r="C44" s="348" t="inlineStr">
        <is>
          <t>No</t>
        </is>
      </c>
      <c r="D44" s="348" t="inlineStr">
        <is>
          <t>None</t>
        </is>
      </c>
      <c r="E44" s="348" t="inlineStr">
        <is>
          <t>None</t>
        </is>
      </c>
      <c r="F44" s="348" t="inlineStr">
        <is>
          <t>None</t>
        </is>
      </c>
      <c r="G44" s="348" t="inlineStr">
        <is>
          <t>Tenn. Code Ann. § 55-12-102</t>
        </is>
      </c>
      <c r="H44" s="348" t="inlineStr">
        <is>
          <t>https://law.justia.com/codes/tennessee/title-55/chapter-12/part-1/section-55-12-102/</t>
        </is>
      </c>
      <c r="I44" s="348" t="inlineStr">
        <is>
          <t>Traditional tort state; PIP is not required.</t>
        </is>
      </c>
    </row>
    <row r="45">
      <c r="A45" s="348" t="inlineStr">
        <is>
          <t>Texas</t>
        </is>
      </c>
      <c r="B45" s="348" t="inlineStr">
        <is>
          <t>No</t>
        </is>
      </c>
      <c r="C45" s="348" t="inlineStr">
        <is>
          <t>Yes</t>
        </is>
      </c>
      <c r="D45" s="348" t="inlineStr">
        <is>
          <t>$2,500</t>
        </is>
      </c>
      <c r="E45" s="348" t="inlineStr">
        <is>
          <t>None</t>
        </is>
      </c>
      <c r="F45" s="348" t="inlineStr">
        <is>
          <t>None</t>
        </is>
      </c>
      <c r="G45" s="348" t="inlineStr">
        <is>
          <t>Tex. Ins. Code §§ 1952.151; 1952.152</t>
        </is>
      </c>
      <c r="H45" s="348" t="inlineStr">
        <is>
          <t>https://statutes.capitol.texas.gov/Docs/IN/htm/IN.1952.htm</t>
        </is>
      </c>
      <c r="I45" s="348" t="inlineStr">
        <is>
          <t>Texas requires insurers to provide PIP unless rejected in writing; no no-fault tort threshold applies.</t>
        </is>
      </c>
    </row>
    <row r="46">
      <c r="A46" s="348" t="inlineStr">
        <is>
          <t>Vermont</t>
        </is>
      </c>
      <c r="B46" s="348" t="inlineStr">
        <is>
          <t>No</t>
        </is>
      </c>
      <c r="C46" s="348" t="inlineStr">
        <is>
          <t>No</t>
        </is>
      </c>
      <c r="D46" s="348" t="inlineStr">
        <is>
          <t>None</t>
        </is>
      </c>
      <c r="E46" s="348" t="inlineStr">
        <is>
          <t>None</t>
        </is>
      </c>
      <c r="F46" s="348" t="inlineStr">
        <is>
          <t>None</t>
        </is>
      </c>
      <c r="G46" s="348" t="inlineStr">
        <is>
          <t>23 V.S.A. § 800</t>
        </is>
      </c>
      <c r="H46" s="348" t="inlineStr">
        <is>
          <t>https://legislature.vermont.gov/statutes/section/23/011/00800</t>
        </is>
      </c>
      <c r="I46" s="348" t="inlineStr">
        <is>
          <t>Traditional tort state; PIP is not required.</t>
        </is>
      </c>
    </row>
    <row r="47">
      <c r="A47" s="348" t="inlineStr">
        <is>
          <t>Virginia</t>
        </is>
      </c>
      <c r="B47" s="348" t="inlineStr">
        <is>
          <t>No</t>
        </is>
      </c>
      <c r="C47" s="348" t="inlineStr">
        <is>
          <t>No</t>
        </is>
      </c>
      <c r="D47" s="348" t="inlineStr">
        <is>
          <t>None</t>
        </is>
      </c>
      <c r="E47" s="348" t="inlineStr">
        <is>
          <t>None</t>
        </is>
      </c>
      <c r="F47" s="348" t="inlineStr">
        <is>
          <t>None</t>
        </is>
      </c>
      <c r="G47" s="348" t="inlineStr">
        <is>
          <t>Va. Code § 46.2-472</t>
        </is>
      </c>
      <c r="H47" s="348" t="inlineStr">
        <is>
          <t>https://law.lis.virginia.gov/vacode/title46.2/chapter3/section46.2-472/</t>
        </is>
      </c>
      <c r="I47" s="348" t="inlineStr">
        <is>
          <t>Traditional tort state; PIP is not required.</t>
        </is>
      </c>
    </row>
    <row r="48">
      <c r="A48" s="348" t="inlineStr">
        <is>
          <t>Washington</t>
        </is>
      </c>
      <c r="B48" s="348" t="inlineStr">
        <is>
          <t>No</t>
        </is>
      </c>
      <c r="C48" s="348" t="inlineStr">
        <is>
          <t>Optional</t>
        </is>
      </c>
      <c r="D48" s="348" t="inlineStr">
        <is>
          <t>Offered: $10,000 minimum medical benefits</t>
        </is>
      </c>
      <c r="E48" s="348" t="inlineStr">
        <is>
          <t>None</t>
        </is>
      </c>
      <c r="F48" s="348" t="inlineStr">
        <is>
          <t>None</t>
        </is>
      </c>
      <c r="G48" s="348" t="inlineStr">
        <is>
          <t>RCW §§ 48.22.095; 48.22.100</t>
        </is>
      </c>
      <c r="H48" s="348" t="inlineStr">
        <is>
          <t>https://app.leg.wa.gov/rcw/default.aspx?cite=48.22.095</t>
        </is>
      </c>
      <c r="I48" s="348" t="inlineStr">
        <is>
          <t>Insurers must offer PIP coverage; it is optional and does not create a no-fault tort threshold.</t>
        </is>
      </c>
    </row>
    <row r="49">
      <c r="A49" s="348" t="inlineStr">
        <is>
          <t>West Virginia</t>
        </is>
      </c>
      <c r="B49" s="348" t="inlineStr">
        <is>
          <t>No</t>
        </is>
      </c>
      <c r="C49" s="348" t="inlineStr">
        <is>
          <t>No</t>
        </is>
      </c>
      <c r="D49" s="348" t="inlineStr">
        <is>
          <t>None</t>
        </is>
      </c>
      <c r="E49" s="348" t="inlineStr">
        <is>
          <t>None</t>
        </is>
      </c>
      <c r="F49" s="348" t="inlineStr">
        <is>
          <t>None</t>
        </is>
      </c>
      <c r="G49" s="348" t="inlineStr">
        <is>
          <t>W. Va. Code § 17D-4-2</t>
        </is>
      </c>
      <c r="H49" s="348" t="inlineStr">
        <is>
          <t>https://code.wvlegislature.gov/17D-4-2/</t>
        </is>
      </c>
      <c r="I49" s="348" t="inlineStr">
        <is>
          <t>Traditional tort state; PIP is not required.</t>
        </is>
      </c>
    </row>
    <row r="50">
      <c r="A50" s="348" t="inlineStr">
        <is>
          <t>Wisconsin</t>
        </is>
      </c>
      <c r="B50" s="348" t="inlineStr">
        <is>
          <t>No</t>
        </is>
      </c>
      <c r="C50" s="348" t="inlineStr">
        <is>
          <t>No</t>
        </is>
      </c>
      <c r="D50" s="348" t="inlineStr">
        <is>
          <t>None</t>
        </is>
      </c>
      <c r="E50" s="348" t="inlineStr">
        <is>
          <t>None</t>
        </is>
      </c>
      <c r="F50" s="348" t="inlineStr">
        <is>
          <t>None</t>
        </is>
      </c>
      <c r="G50" s="348" t="inlineStr">
        <is>
          <t>Wis. Stat. § 344.62</t>
        </is>
      </c>
      <c r="H50" s="348" t="inlineStr">
        <is>
          <t>https://docs.legis.wisconsin.gov/statutes/statutes/344/vi/62</t>
        </is>
      </c>
      <c r="I50" s="348" t="inlineStr">
        <is>
          <t>Traditional tort state; PIP is not required.</t>
        </is>
      </c>
    </row>
    <row r="51">
      <c r="A51" s="348" t="inlineStr">
        <is>
          <t>Wyoming</t>
        </is>
      </c>
      <c r="B51" s="348" t="inlineStr">
        <is>
          <t>No</t>
        </is>
      </c>
      <c r="C51" s="348" t="inlineStr">
        <is>
          <t>No</t>
        </is>
      </c>
      <c r="D51" s="348" t="inlineStr">
        <is>
          <t>None</t>
        </is>
      </c>
      <c r="E51" s="348" t="inlineStr">
        <is>
          <t>None</t>
        </is>
      </c>
      <c r="F51" s="348" t="inlineStr">
        <is>
          <t>None</t>
        </is>
      </c>
      <c r="G51" s="348" t="inlineStr">
        <is>
          <t>Wyo. Stat. § 31-9-405</t>
        </is>
      </c>
      <c r="H51" s="348" t="inlineStr">
        <is>
          <t>https://wyoleg.gov/statutes/compress/title31.pdf</t>
        </is>
      </c>
      <c r="I51" s="348" t="inlineStr">
        <is>
          <t>Traditional tort state; PIP is not required.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14" customWidth="1" style="355" min="2" max="2"/>
    <col width="14" customWidth="1" style="355" min="3" max="3"/>
    <col width="14" customWidth="1" style="355" min="4" max="4"/>
    <col width="14" customWidth="1" style="355" min="5" max="5"/>
    <col width="34" customWidth="1" style="355" min="6" max="6"/>
    <col width="42" customWidth="1" style="355" min="7" max="7"/>
    <col width="48" customWidth="1" style="355" min="8" max="8"/>
  </cols>
  <sheetData>
    <row r="1">
      <c r="A1" s="390" t="inlineStr">
        <is>
          <t>State</t>
        </is>
      </c>
      <c r="B1" s="390" t="inlineStr">
        <is>
          <t>Recognized</t>
        </is>
      </c>
      <c r="C1" s="390" t="inlineStr">
        <is>
          <t>First Party</t>
        </is>
      </c>
      <c r="D1" s="390" t="inlineStr">
        <is>
          <t>Third Party</t>
        </is>
      </c>
      <c r="E1" s="390" t="inlineStr">
        <is>
          <t>Statutory Cause of Action</t>
        </is>
      </c>
      <c r="F1" s="390" t="inlineStr">
        <is>
          <t>Citation</t>
        </is>
      </c>
      <c r="G1" s="390" t="inlineStr">
        <is>
          <t>URL</t>
        </is>
      </c>
      <c r="H1" s="390" t="inlineStr">
        <is>
          <t>Notes</t>
        </is>
      </c>
    </row>
    <row r="2">
      <c r="A2" s="349" t="inlineStr">
        <is>
          <t>Florida</t>
        </is>
      </c>
      <c r="B2" s="349" t="inlineStr">
        <is>
          <t>Yes</t>
        </is>
      </c>
      <c r="C2" s="349" t="inlineStr">
        <is>
          <t>Yes</t>
        </is>
      </c>
      <c r="D2" s="349" t="inlineStr">
        <is>
          <t>Yes</t>
        </is>
      </c>
      <c r="E2" s="349" t="inlineStr">
        <is>
          <t>Yes</t>
        </is>
      </c>
      <c r="F2" s="349" t="inlineStr">
        <is>
          <t>Fla. Stat. § 624.155</t>
        </is>
      </c>
      <c r="G2" s="349" t="inlineStr">
        <is>
          <t>https://www.leg.state.fl.us/statutes/index.cfm?App_mode=Display_Statute&amp;URL=0600-0699/0624/Sections/0624.155.html</t>
        </is>
      </c>
      <c r="H2" s="349" t="inlineStr">
        <is>
          <t>Florida provides statutory civil remedies for insurer bad faith after civil-remedy notice requirements are met.</t>
        </is>
      </c>
    </row>
    <row r="3">
      <c r="A3" s="349" t="inlineStr">
        <is>
          <t>California</t>
        </is>
      </c>
      <c r="B3" s="349" t="inlineStr">
        <is>
          <t>Yes</t>
        </is>
      </c>
      <c r="C3" s="349" t="inlineStr">
        <is>
          <t>Yes</t>
        </is>
      </c>
      <c r="D3" s="349" t="inlineStr">
        <is>
          <t>No</t>
        </is>
      </c>
      <c r="E3" s="349" t="inlineStr">
        <is>
          <t>No</t>
        </is>
      </c>
      <c r="F3" s="349" t="inlineStr">
        <is>
          <t>Gruenberg v. Aetna; Moradi-Shalal; Cal. Ins. Code § 790.03</t>
        </is>
      </c>
      <c r="G3" s="349" t="inlineStr">
        <is>
          <t>https://leginfo.legislature.ca.gov/faces/codes_displaySection.xhtml?sectionNum=790.03&amp;lawCode=INS</t>
        </is>
      </c>
      <c r="H3" s="349" t="inlineStr">
        <is>
          <t>California recognizes insured bad-faith claims under the implied covenant; third-party direct claims under unfair-claims statutes are generally barred.</t>
        </is>
      </c>
    </row>
    <row r="4">
      <c r="A4" s="349" t="inlineStr">
        <is>
          <t>Texas</t>
        </is>
      </c>
      <c r="B4" s="349" t="inlineStr">
        <is>
          <t>Yes</t>
        </is>
      </c>
      <c r="C4" s="349" t="inlineStr">
        <is>
          <t>Yes</t>
        </is>
      </c>
      <c r="D4" s="349" t="inlineStr">
        <is>
          <t>Limited</t>
        </is>
      </c>
      <c r="E4" s="349" t="inlineStr">
        <is>
          <t>Yes</t>
        </is>
      </c>
      <c r="F4" s="349" t="inlineStr">
        <is>
          <t>Tex. Ins. Code chs. 541, 542; Stowers doctrine</t>
        </is>
      </c>
      <c r="G4" s="349" t="inlineStr">
        <is>
          <t>https://statutes.capitol.texas.gov/Docs/IN/htm/IN.541.htm</t>
        </is>
      </c>
      <c r="H4" s="349" t="inlineStr">
        <is>
          <t>Texas recognizes statutory insurance remedies and a limited third-party duty-to-settle framework through Stowers principles.</t>
        </is>
      </c>
    </row>
    <row r="5">
      <c r="A5" s="349" t="inlineStr">
        <is>
          <t>New York</t>
        </is>
      </c>
      <c r="B5" s="349" t="inlineStr">
        <is>
          <t>Limited</t>
        </is>
      </c>
      <c r="C5" s="349" t="inlineStr">
        <is>
          <t>Limited</t>
        </is>
      </c>
      <c r="D5" s="349" t="inlineStr">
        <is>
          <t>Limited</t>
        </is>
      </c>
      <c r="E5" s="349" t="inlineStr">
        <is>
          <t>No</t>
        </is>
      </c>
      <c r="F5" s="349" t="inlineStr">
        <is>
          <t>N.Y. Ins. Law § 2601; Pavia v. State Farm; Bi-Economy Market</t>
        </is>
      </c>
      <c r="G5" s="349" t="inlineStr">
        <is>
          <t>https://www.nysenate.gov/legislation/laws/ISC/2601</t>
        </is>
      </c>
      <c r="H5" s="349" t="inlineStr">
        <is>
          <t>New York does not provide a broad standalone statutory bad-faith action; remedies are mainly contractual or limited common-law theories.</t>
        </is>
      </c>
    </row>
    <row r="6">
      <c r="A6" s="349" t="inlineStr">
        <is>
          <t>New Jersey</t>
        </is>
      </c>
      <c r="B6" s="349" t="inlineStr">
        <is>
          <t>Yes</t>
        </is>
      </c>
      <c r="C6" s="349" t="inlineStr">
        <is>
          <t>Yes</t>
        </is>
      </c>
      <c r="D6" s="349" t="inlineStr">
        <is>
          <t>Yes</t>
        </is>
      </c>
      <c r="E6" s="349" t="inlineStr">
        <is>
          <t>Limited</t>
        </is>
      </c>
      <c r="F6" s="349" t="inlineStr">
        <is>
          <t>Pickett v. Lloyd's; Rova Farms; N.J.S.A. 17:29BB-1 to 17:29BB-3</t>
        </is>
      </c>
      <c r="G6" s="349" t="inlineStr">
        <is>
          <t>https://www.njleg.state.nj.us/bill-search/2020/S1559/bill-text?f=PL21&amp;n=388_</t>
        </is>
      </c>
      <c r="H6" s="349" t="inlineStr">
        <is>
          <t>New Jersey recognizes common-law first-party and third-party bad-faith principles; the Insurance Fair Conduct Act is limited to UM/UIM claims.</t>
        </is>
      </c>
    </row>
    <row r="7">
      <c r="A7" s="349" t="inlineStr">
        <is>
          <t>Pennsylvania</t>
        </is>
      </c>
      <c r="B7" s="349" t="inlineStr">
        <is>
          <t>Yes</t>
        </is>
      </c>
      <c r="C7" s="349" t="inlineStr">
        <is>
          <t>Yes</t>
        </is>
      </c>
      <c r="D7" s="349" t="inlineStr">
        <is>
          <t>Limited</t>
        </is>
      </c>
      <c r="E7" s="349" t="inlineStr">
        <is>
          <t>Yes</t>
        </is>
      </c>
      <c r="F7" s="349" t="inlineStr">
        <is>
          <t>42 Pa.C.S. § 8371</t>
        </is>
      </c>
      <c r="G7" s="349" t="inlineStr">
        <is>
          <t>https://www.legis.state.pa.us/WU01/LI/LI/CT/HTM/42/00.083.071.000..HTM</t>
        </is>
      </c>
      <c r="H7" s="349" t="inlineStr">
        <is>
          <t>Pennsylvania provides a statutory bad-faith remedy in actions arising under an insurance policy.</t>
        </is>
      </c>
    </row>
    <row r="8">
      <c r="A8" s="349" t="inlineStr">
        <is>
          <t>Michigan</t>
        </is>
      </c>
      <c r="B8" s="349" t="inlineStr">
        <is>
          <t>Limited</t>
        </is>
      </c>
      <c r="C8" s="349" t="inlineStr">
        <is>
          <t>Limited</t>
        </is>
      </c>
      <c r="D8" s="349" t="inlineStr">
        <is>
          <t>Limited</t>
        </is>
      </c>
      <c r="E8" s="349" t="inlineStr">
        <is>
          <t>Limited</t>
        </is>
      </c>
      <c r="F8" s="349" t="inlineStr">
        <is>
          <t>MCL § 500.2006; Kewin v. Massachusetts Mutual Life Ins. Co.</t>
        </is>
      </c>
      <c r="G8" s="349" t="inlineStr">
        <is>
          <t>https://www.legislature.mi.gov/Laws/MCL?objectName=mcl-500-2006</t>
        </is>
      </c>
      <c r="H8" s="349" t="inlineStr">
        <is>
          <t>Michigan does not recognize a broad independent insurer bad-faith tort, but statutory penalty-interest and limited duty-to-settle principles may apply.</t>
        </is>
      </c>
    </row>
    <row r="9">
      <c r="A9" s="349" t="inlineStr">
        <is>
          <t>Minnesota</t>
        </is>
      </c>
      <c r="B9" s="349" t="inlineStr">
        <is>
          <t>Yes</t>
        </is>
      </c>
      <c r="C9" s="349" t="inlineStr">
        <is>
          <t>Yes</t>
        </is>
      </c>
      <c r="D9" s="349" t="inlineStr">
        <is>
          <t>No</t>
        </is>
      </c>
      <c r="E9" s="349" t="inlineStr">
        <is>
          <t>Yes</t>
        </is>
      </c>
      <c r="F9" s="349" t="inlineStr">
        <is>
          <t>Minn. Stat. § 604.18</t>
        </is>
      </c>
      <c r="G9" s="349" t="inlineStr">
        <is>
          <t>https://www.revisor.mn.gov/statutes/cite/604.18</t>
        </is>
      </c>
      <c r="H9" s="349" t="inlineStr">
        <is>
          <t>Minnesota provides a first-party statutory remedy for bad-faith denial of insurance benefits; third-party direct claims are not treated the same way.</t>
        </is>
      </c>
    </row>
    <row r="10">
      <c r="A10" s="349" t="inlineStr">
        <is>
          <t>Georgia</t>
        </is>
      </c>
      <c r="B10" s="349" t="inlineStr">
        <is>
          <t>Yes</t>
        </is>
      </c>
      <c r="C10" s="349" t="inlineStr">
        <is>
          <t>Yes</t>
        </is>
      </c>
      <c r="D10" s="349" t="inlineStr">
        <is>
          <t>Limited</t>
        </is>
      </c>
      <c r="E10" s="349" t="inlineStr">
        <is>
          <t>Yes</t>
        </is>
      </c>
      <c r="F10" s="349" t="inlineStr">
        <is>
          <t>O.C.G.A. §§ 33-4-6, 33-4-7; Southern General Ins. Co. v. Holt</t>
        </is>
      </c>
      <c r="G10" s="349" t="inlineStr">
        <is>
          <t>https://law.justia.com/codes/georgia/title-33/chapter-4/section-33-4-7/</t>
        </is>
      </c>
      <c r="H10" s="349" t="inlineStr">
        <is>
          <t>Georgia provides statutory bad-faith remedies for covered claims and motor-vehicle liability claims, with demand and timing requirements.</t>
        </is>
      </c>
    </row>
    <row r="11">
      <c r="A11" s="349" t="inlineStr">
        <is>
          <t>North Carolina</t>
        </is>
      </c>
      <c r="B11" s="349" t="inlineStr">
        <is>
          <t>Limited</t>
        </is>
      </c>
      <c r="C11" s="349" t="inlineStr">
        <is>
          <t>Yes</t>
        </is>
      </c>
      <c r="D11" s="349" t="inlineStr">
        <is>
          <t>No</t>
        </is>
      </c>
      <c r="E11" s="349" t="inlineStr">
        <is>
          <t>Limited</t>
        </is>
      </c>
      <c r="F11" s="349" t="inlineStr">
        <is>
          <t>N.C. Gen. Stat. § 58-63-15; N.C. Gen. Stat. ch. 75</t>
        </is>
      </c>
      <c r="G11" s="349" t="inlineStr">
        <is>
          <t>https://www.ncleg.gov/EnactedLegislation/Statutes/HTML/BySection/Chapter_58/GS_58-63-15.html</t>
        </is>
      </c>
      <c r="H11" s="349" t="inlineStr">
        <is>
          <t>North Carolina allows insured-side bad-faith and unfair-practice theories in some cases; adverse third-party claimants generally cannot sue the insurer directly.</t>
        </is>
      </c>
    </row>
    <row r="12">
      <c r="A12" s="348" t="inlineStr">
        <is>
          <t>Alabama</t>
        </is>
      </c>
      <c r="B12" s="348" t="inlineStr">
        <is>
          <t>Yes</t>
        </is>
      </c>
      <c r="C12" s="348" t="inlineStr">
        <is>
          <t>Yes</t>
        </is>
      </c>
      <c r="D12" s="348" t="inlineStr">
        <is>
          <t>Limited</t>
        </is>
      </c>
      <c r="E12" s="348" t="inlineStr">
        <is>
          <t>No</t>
        </is>
      </c>
      <c r="F12" s="348" t="inlineStr">
        <is>
          <t>Chavers v. National Security Fire &amp; Casualty Co.; Ala. Code § 27-12-24</t>
        </is>
      </c>
      <c r="G12" s="348" t="inlineStr">
        <is>
          <t>https://law.justia.com/codes/alabama/title-27/chapter-12/section-27-12-24/</t>
        </is>
      </c>
      <c r="H12" s="348" t="inlineStr">
        <is>
          <t>Alabama recognizes first-party bad-faith claims; liability-claim settlement remedies are limited and generally tied to the insured.</t>
        </is>
      </c>
    </row>
    <row r="13">
      <c r="A13" s="348" t="inlineStr">
        <is>
          <t>Alaska</t>
        </is>
      </c>
      <c r="B13" s="348" t="inlineStr">
        <is>
          <t>Yes</t>
        </is>
      </c>
      <c r="C13" s="348" t="inlineStr">
        <is>
          <t>Yes</t>
        </is>
      </c>
      <c r="D13" s="348" t="inlineStr">
        <is>
          <t>Limited</t>
        </is>
      </c>
      <c r="E13" s="348" t="inlineStr">
        <is>
          <t>No</t>
        </is>
      </c>
      <c r="F13" s="348" t="inlineStr">
        <is>
          <t>State Farm Fire &amp; Casualty Co. v. Nicholson; State Farm v. Weiford</t>
        </is>
      </c>
      <c r="G13" s="348" t="inlineStr">
        <is>
          <t>https://law.justia.com/cases/alaska/supreme-court/1989/s-2303-1.html</t>
        </is>
      </c>
      <c r="H13" s="348" t="inlineStr">
        <is>
          <t>Alaska recognizes first-party insurer bad faith; third-party bad-faith remedies are limited.</t>
        </is>
      </c>
    </row>
    <row r="14">
      <c r="A14" s="348" t="inlineStr">
        <is>
          <t>Arizona</t>
        </is>
      </c>
      <c r="B14" s="348" t="inlineStr">
        <is>
          <t>Yes</t>
        </is>
      </c>
      <c r="C14" s="348" t="inlineStr">
        <is>
          <t>Yes</t>
        </is>
      </c>
      <c r="D14" s="348" t="inlineStr">
        <is>
          <t>Yes</t>
        </is>
      </c>
      <c r="E14" s="348" t="inlineStr">
        <is>
          <t>No</t>
        </is>
      </c>
      <c r="F14" s="348" t="inlineStr">
        <is>
          <t>Noble v. National American Life; Farmers v. Henderson; Clearwater v. State Farm</t>
        </is>
      </c>
      <c r="G14" s="348" t="inlineStr">
        <is>
          <t>https://law.justia.com/cases/arizona/supreme-court/1990/cv-89-0175-pr-2.html</t>
        </is>
      </c>
      <c r="H14" s="348" t="inlineStr">
        <is>
          <t>Arizona recognizes common-law first-party and third-party insurer bad-faith claims.</t>
        </is>
      </c>
    </row>
    <row r="15">
      <c r="A15" s="348" t="inlineStr">
        <is>
          <t>Arkansas</t>
        </is>
      </c>
      <c r="B15" s="348" t="inlineStr">
        <is>
          <t>Yes</t>
        </is>
      </c>
      <c r="C15" s="348" t="inlineStr">
        <is>
          <t>Yes</t>
        </is>
      </c>
      <c r="D15" s="348" t="inlineStr">
        <is>
          <t>No</t>
        </is>
      </c>
      <c r="E15" s="348" t="inlineStr">
        <is>
          <t>Yes</t>
        </is>
      </c>
      <c r="F15" s="348" t="inlineStr">
        <is>
          <t>Aetna Casualty &amp; Surety Co. v. Broadway Arms; Ark. Code § 23-79-208</t>
        </is>
      </c>
      <c r="G15" s="348" t="inlineStr">
        <is>
          <t>https://law.justia.com/codes/arkansas/title-23/subtitle-3/chapter-79/subchapter-2/section-23-79-208/</t>
        </is>
      </c>
      <c r="H15" s="348" t="inlineStr">
        <is>
          <t>Arkansas recognizes a narrow first-party bad-faith tort and statutory remedies for certain unpaid covered losses.</t>
        </is>
      </c>
    </row>
    <row r="16">
      <c r="A16" s="348" t="inlineStr">
        <is>
          <t>Colorado</t>
        </is>
      </c>
      <c r="B16" s="348" t="inlineStr">
        <is>
          <t>Yes</t>
        </is>
      </c>
      <c r="C16" s="348" t="inlineStr">
        <is>
          <t>Yes</t>
        </is>
      </c>
      <c r="D16" s="348" t="inlineStr">
        <is>
          <t>Limited</t>
        </is>
      </c>
      <c r="E16" s="348" t="inlineStr">
        <is>
          <t>Yes</t>
        </is>
      </c>
      <c r="F16" s="348" t="inlineStr">
        <is>
          <t>Colo. Rev. Stat. §§ 10-3-1115, 10-3-1116</t>
        </is>
      </c>
      <c r="G16" s="348" t="inlineStr">
        <is>
          <t>https://codes.findlaw.com/co/title-10-insurance/co-rev-st-sect-10-3-1116/</t>
        </is>
      </c>
      <c r="H16" s="348" t="inlineStr">
        <is>
          <t>Colorado provides statutory remedies for unreasonable delay or denial of first-party benefits; liability-claim settlement duties are more limited.</t>
        </is>
      </c>
    </row>
    <row r="17">
      <c r="A17" s="348" t="inlineStr">
        <is>
          <t>Connecticut</t>
        </is>
      </c>
      <c r="B17" s="348" t="inlineStr">
        <is>
          <t>Yes</t>
        </is>
      </c>
      <c r="C17" s="348" t="inlineStr">
        <is>
          <t>Yes</t>
        </is>
      </c>
      <c r="D17" s="348" t="inlineStr">
        <is>
          <t>Limited</t>
        </is>
      </c>
      <c r="E17" s="348" t="inlineStr">
        <is>
          <t>Limited</t>
        </is>
      </c>
      <c r="F17" s="348" t="inlineStr">
        <is>
          <t>Buckman v. People Express; Conn. Gen. Stat. § 38a-816; CUTPA/CUIPA cases</t>
        </is>
      </c>
      <c r="G17" s="348" t="inlineStr">
        <is>
          <t>https://www.cga.ct.gov/2004/rpt/2004-R-0280.htm</t>
        </is>
      </c>
      <c r="H17" s="348" t="inlineStr">
        <is>
          <t>Connecticut recognizes bad-faith theories under the implied covenant; statutory unfair-practice claims are limited and usually require more than a single act.</t>
        </is>
      </c>
    </row>
    <row r="18">
      <c r="A18" s="348" t="inlineStr">
        <is>
          <t>Delaware</t>
        </is>
      </c>
      <c r="B18" s="348" t="inlineStr">
        <is>
          <t>Yes</t>
        </is>
      </c>
      <c r="C18" s="348" t="inlineStr">
        <is>
          <t>Yes</t>
        </is>
      </c>
      <c r="D18" s="348" t="inlineStr">
        <is>
          <t>Limited</t>
        </is>
      </c>
      <c r="E18" s="348" t="inlineStr">
        <is>
          <t>No</t>
        </is>
      </c>
      <c r="F18" s="348" t="inlineStr">
        <is>
          <t>Tackett v. State Farm; Connelly v. State Farm; 18 Del. C. § 2304</t>
        </is>
      </c>
      <c r="G18" s="348" t="inlineStr">
        <is>
          <t>https://law.justia.com/cases/delaware/supreme-court/1995/653-a-2d-254-1.html</t>
        </is>
      </c>
      <c r="H18" s="348" t="inlineStr">
        <is>
          <t>Delaware recognizes first-party bad faith as contract-based; third-party failure-to-settle remedies are limited.</t>
        </is>
      </c>
    </row>
    <row r="19">
      <c r="A19" s="348" t="inlineStr">
        <is>
          <t>District of Columbia</t>
        </is>
      </c>
      <c r="B19" s="348" t="inlineStr">
        <is>
          <t>Limited</t>
        </is>
      </c>
      <c r="C19" s="348" t="inlineStr">
        <is>
          <t>Limited</t>
        </is>
      </c>
      <c r="D19" s="348" t="inlineStr">
        <is>
          <t>No</t>
        </is>
      </c>
      <c r="E19" s="348" t="inlineStr">
        <is>
          <t>No</t>
        </is>
      </c>
      <c r="F19" s="348" t="inlineStr">
        <is>
          <t>Choharis v. State Farm; Fireman's Fund v. CTIA</t>
        </is>
      </c>
      <c r="G19" s="348" t="inlineStr">
        <is>
          <t>https://caselaw.findlaw.com/court/dc-court-of-appeals/1029758.html</t>
        </is>
      </c>
      <c r="H19" s="348" t="inlineStr">
        <is>
          <t>D.C. does not recognize a separate bad-faith tort; remedies are generally contract-based.</t>
        </is>
      </c>
    </row>
    <row r="20">
      <c r="A20" s="348" t="inlineStr">
        <is>
          <t>Illinois</t>
        </is>
      </c>
      <c r="B20" s="348" t="inlineStr">
        <is>
          <t>Limited</t>
        </is>
      </c>
      <c r="C20" s="348" t="inlineStr">
        <is>
          <t>Limited</t>
        </is>
      </c>
      <c r="D20" s="348" t="inlineStr">
        <is>
          <t>Limited</t>
        </is>
      </c>
      <c r="E20" s="348" t="inlineStr">
        <is>
          <t>Yes</t>
        </is>
      </c>
      <c r="F20" s="348" t="inlineStr">
        <is>
          <t>215 ILCS 5/155; Cramer v. Insurance Exchange Agency</t>
        </is>
      </c>
      <c r="G20" s="348" t="inlineStr">
        <is>
          <t>https://www.ilga.gov/Documents/legislation/ilcs/documents/021500050K155.htm</t>
        </is>
      </c>
      <c r="H20" s="348" t="inlineStr">
        <is>
          <t>Illinois provides a statutory vexatious-delay remedy but generally does not recognize an independent bad-faith tort.</t>
        </is>
      </c>
    </row>
    <row r="21">
      <c r="A21" s="348" t="inlineStr">
        <is>
          <t>Indiana</t>
        </is>
      </c>
      <c r="B21" s="348" t="inlineStr">
        <is>
          <t>Yes</t>
        </is>
      </c>
      <c r="C21" s="348" t="inlineStr">
        <is>
          <t>Yes</t>
        </is>
      </c>
      <c r="D21" s="348" t="inlineStr">
        <is>
          <t>Limited</t>
        </is>
      </c>
      <c r="E21" s="348" t="inlineStr">
        <is>
          <t>No</t>
        </is>
      </c>
      <c r="F21" s="348" t="inlineStr">
        <is>
          <t>Erie Insurance Co. v. Hickman</t>
        </is>
      </c>
      <c r="G21" s="348" t="inlineStr">
        <is>
          <t>https://law.justia.com/cases/indiana/supreme-court/1993/29s02-9310-cv-1180-4.html</t>
        </is>
      </c>
      <c r="H21" s="348" t="inlineStr">
        <is>
          <t>Indiana recognizes an insurer duty of good faith; third-party settlement issues are generally tied to the insured relationship.</t>
        </is>
      </c>
    </row>
    <row r="22">
      <c r="A22" s="348" t="inlineStr">
        <is>
          <t>Iowa</t>
        </is>
      </c>
      <c r="B22" s="348" t="inlineStr">
        <is>
          <t>Yes</t>
        </is>
      </c>
      <c r="C22" s="348" t="inlineStr">
        <is>
          <t>Yes</t>
        </is>
      </c>
      <c r="D22" s="348" t="inlineStr">
        <is>
          <t>Limited</t>
        </is>
      </c>
      <c r="E22" s="348" t="inlineStr">
        <is>
          <t>No</t>
        </is>
      </c>
      <c r="F22" s="348" t="inlineStr">
        <is>
          <t>Dolan v. Aid Insurance Co.</t>
        </is>
      </c>
      <c r="G22" s="348" t="inlineStr">
        <is>
          <t>https://law.justia.com/cases/iowa/supreme-court/1988/87-1380-0.html</t>
        </is>
      </c>
      <c r="H22" s="348" t="inlineStr">
        <is>
          <t>Iowa recognizes first-party bad-faith claims; third-party bad-faith remedies are limited.</t>
        </is>
      </c>
    </row>
    <row r="23">
      <c r="A23" s="348" t="inlineStr">
        <is>
          <t>Kansas</t>
        </is>
      </c>
      <c r="B23" s="348" t="inlineStr">
        <is>
          <t>Limited</t>
        </is>
      </c>
      <c r="C23" s="348" t="inlineStr">
        <is>
          <t>No</t>
        </is>
      </c>
      <c r="D23" s="348" t="inlineStr">
        <is>
          <t>Limited</t>
        </is>
      </c>
      <c r="E23" s="348" t="inlineStr">
        <is>
          <t>No</t>
        </is>
      </c>
      <c r="F23" s="348" t="inlineStr">
        <is>
          <t>Glenn v. Fleming; Spencer v. Aetna Life &amp; Casualty</t>
        </is>
      </c>
      <c r="G23" s="348" t="inlineStr">
        <is>
          <t>https://law.justia.com/cases/kansas/supreme-court/1990/63-230-3.html</t>
        </is>
      </c>
      <c r="H23" s="348" t="inlineStr">
        <is>
          <t>Kansas generally does not recognize a first-party bad-faith tort, but allows limited contract-based failure-to-settle claims.</t>
        </is>
      </c>
    </row>
    <row r="24">
      <c r="A24" s="348" t="inlineStr">
        <is>
          <t>Kentucky</t>
        </is>
      </c>
      <c r="B24" s="348" t="inlineStr">
        <is>
          <t>Yes</t>
        </is>
      </c>
      <c r="C24" s="348" t="inlineStr">
        <is>
          <t>Yes</t>
        </is>
      </c>
      <c r="D24" s="348" t="inlineStr">
        <is>
          <t>Limited</t>
        </is>
      </c>
      <c r="E24" s="348" t="inlineStr">
        <is>
          <t>Yes</t>
        </is>
      </c>
      <c r="F24" s="348" t="inlineStr">
        <is>
          <t>Ky. Rev. Stat. § 304.12-230; Wittmer v. Jones</t>
        </is>
      </c>
      <c r="G24" s="348" t="inlineStr">
        <is>
          <t>https://apps.legislature.ky.gov/law/statutes/statute.aspx?id=17033</t>
        </is>
      </c>
      <c r="H24" s="348" t="inlineStr">
        <is>
          <t>Kentucky recognizes insurer bad-faith claims under statutory and common-law standards.</t>
        </is>
      </c>
    </row>
    <row r="25">
      <c r="A25" s="348" t="inlineStr">
        <is>
          <t>Louisiana</t>
        </is>
      </c>
      <c r="B25" s="348" t="inlineStr">
        <is>
          <t>Yes</t>
        </is>
      </c>
      <c r="C25" s="348" t="inlineStr">
        <is>
          <t>Yes</t>
        </is>
      </c>
      <c r="D25" s="348" t="inlineStr">
        <is>
          <t>Limited</t>
        </is>
      </c>
      <c r="E25" s="348" t="inlineStr">
        <is>
          <t>Yes</t>
        </is>
      </c>
      <c r="F25" s="348" t="inlineStr">
        <is>
          <t>La. R.S. 22:1892; La. R.S. 22:1973 / current claims-handling provisions</t>
        </is>
      </c>
      <c r="G25" s="348" t="inlineStr">
        <is>
          <t>https://legis.la.gov/legis/Law.aspx?d=509041</t>
        </is>
      </c>
      <c r="H25" s="348" t="inlineStr">
        <is>
          <t>Louisiana provides statutory bad-faith remedies; third-party remedies are limited to specified statutory duties.</t>
        </is>
      </c>
    </row>
    <row r="26">
      <c r="A26" s="348" t="inlineStr">
        <is>
          <t>Maine</t>
        </is>
      </c>
      <c r="B26" s="348" t="inlineStr">
        <is>
          <t>Limited</t>
        </is>
      </c>
      <c r="C26" s="348" t="inlineStr">
        <is>
          <t>Limited</t>
        </is>
      </c>
      <c r="D26" s="348" t="inlineStr">
        <is>
          <t>No</t>
        </is>
      </c>
      <c r="E26" s="348" t="inlineStr">
        <is>
          <t>Limited</t>
        </is>
      </c>
      <c r="F26" s="348" t="inlineStr">
        <is>
          <t>Marquis v. Farm Family Mutual; 24-A M.R.S. § 2436-A</t>
        </is>
      </c>
      <c r="G26" s="348" t="inlineStr">
        <is>
          <t>https://law.justia.com/cases/maine/supreme-court/1993/628-a-2d-644-0.html</t>
        </is>
      </c>
      <c r="H26" s="348" t="inlineStr">
        <is>
          <t>Maine recognizes an insurer good-faith duty, but remedies are mainly contract-based or limited by statute.</t>
        </is>
      </c>
    </row>
    <row r="27">
      <c r="A27" s="348" t="inlineStr">
        <is>
          <t>Maryland</t>
        </is>
      </c>
      <c r="B27" s="348" t="inlineStr">
        <is>
          <t>Limited</t>
        </is>
      </c>
      <c r="C27" s="348" t="inlineStr">
        <is>
          <t>Yes</t>
        </is>
      </c>
      <c r="D27" s="348" t="inlineStr">
        <is>
          <t>No</t>
        </is>
      </c>
      <c r="E27" s="348" t="inlineStr">
        <is>
          <t>Yes</t>
        </is>
      </c>
      <c r="F27" s="348" t="inlineStr">
        <is>
          <t>Md. Code Ins. § 27-1001</t>
        </is>
      </c>
      <c r="G27" s="348" t="inlineStr">
        <is>
          <t>https://mgaleg.maryland.gov</t>
        </is>
      </c>
      <c r="H27" s="348" t="inlineStr">
        <is>
          <t>Maryland primarily provides a statutory first-party remedy for lack of good faith in settling covered claims.</t>
        </is>
      </c>
    </row>
    <row r="28">
      <c r="A28" s="348" t="inlineStr">
        <is>
          <t>Massachusetts</t>
        </is>
      </c>
      <c r="B28" s="348" t="inlineStr">
        <is>
          <t>Yes</t>
        </is>
      </c>
      <c r="C28" s="348" t="inlineStr">
        <is>
          <t>Yes</t>
        </is>
      </c>
      <c r="D28" s="348" t="inlineStr">
        <is>
          <t>Limited</t>
        </is>
      </c>
      <c r="E28" s="348" t="inlineStr">
        <is>
          <t>Yes</t>
        </is>
      </c>
      <c r="F28" s="348" t="inlineStr">
        <is>
          <t>Mass. Gen. Laws ch. 93A; ch. 176D</t>
        </is>
      </c>
      <c r="G28" s="348" t="inlineStr">
        <is>
          <t>https://malegislature.gov</t>
        </is>
      </c>
      <c r="H28" s="348" t="inlineStr">
        <is>
          <t>Massachusetts provides statutory remedies for unfair claim-settlement practices and insurer misconduct.</t>
        </is>
      </c>
    </row>
    <row r="29">
      <c r="A29" s="348" t="inlineStr">
        <is>
          <t>Mississippi</t>
        </is>
      </c>
      <c r="B29" s="348" t="inlineStr">
        <is>
          <t>Yes</t>
        </is>
      </c>
      <c r="C29" s="348" t="inlineStr">
        <is>
          <t>Yes</t>
        </is>
      </c>
      <c r="D29" s="348" t="inlineStr">
        <is>
          <t>Limited</t>
        </is>
      </c>
      <c r="E29" s="348" t="inlineStr">
        <is>
          <t>No</t>
        </is>
      </c>
      <c r="F29" s="348" t="inlineStr">
        <is>
          <t>State Farm Mut. Auto. Ins. Co. v. Grimes</t>
        </is>
      </c>
      <c r="G29" s="348" t="inlineStr">
        <is>
          <t>https://law.justia.com</t>
        </is>
      </c>
      <c r="H29" s="348" t="inlineStr">
        <is>
          <t>Mississippi recognizes common-law insurer bad-faith claims.</t>
        </is>
      </c>
    </row>
    <row r="30">
      <c r="A30" s="348" t="inlineStr">
        <is>
          <t>Missouri</t>
        </is>
      </c>
      <c r="B30" s="348" t="inlineStr">
        <is>
          <t>Yes</t>
        </is>
      </c>
      <c r="C30" s="348" t="inlineStr">
        <is>
          <t>Yes</t>
        </is>
      </c>
      <c r="D30" s="348" t="inlineStr">
        <is>
          <t>Limited</t>
        </is>
      </c>
      <c r="E30" s="348" t="inlineStr">
        <is>
          <t>Yes</t>
        </is>
      </c>
      <c r="F30" s="348" t="inlineStr">
        <is>
          <t>Mo. Rev. Stat. § 375.296</t>
        </is>
      </c>
      <c r="G30" s="348" t="inlineStr">
        <is>
          <t>https://revisor.mo.gov</t>
        </is>
      </c>
      <c r="H30" s="348" t="inlineStr">
        <is>
          <t>Missouri recognizes bad-faith refusal-to-settle and related statutory remedies.</t>
        </is>
      </c>
    </row>
    <row r="31">
      <c r="A31" s="348" t="inlineStr">
        <is>
          <t>Montana</t>
        </is>
      </c>
      <c r="B31" s="348" t="inlineStr">
        <is>
          <t>Yes</t>
        </is>
      </c>
      <c r="C31" s="348" t="inlineStr">
        <is>
          <t>Yes</t>
        </is>
      </c>
      <c r="D31" s="348" t="inlineStr">
        <is>
          <t>Yes</t>
        </is>
      </c>
      <c r="E31" s="348" t="inlineStr">
        <is>
          <t>Yes</t>
        </is>
      </c>
      <c r="F31" s="348" t="inlineStr">
        <is>
          <t>Mont. Code Ann. § 33-18-242</t>
        </is>
      </c>
      <c r="G31" s="348" t="inlineStr">
        <is>
          <t>https://leg.mt.gov</t>
        </is>
      </c>
      <c r="H31" s="348" t="inlineStr">
        <is>
          <t>Montana provides broad statutory remedies for insurer unfair-claims practices, including certain third-party actions.</t>
        </is>
      </c>
    </row>
    <row r="32">
      <c r="A32" s="348" t="inlineStr">
        <is>
          <t>Nebraska</t>
        </is>
      </c>
      <c r="B32" s="348" t="inlineStr">
        <is>
          <t>Limited</t>
        </is>
      </c>
      <c r="C32" s="348" t="inlineStr">
        <is>
          <t>Limited</t>
        </is>
      </c>
      <c r="D32" s="348" t="inlineStr">
        <is>
          <t>No</t>
        </is>
      </c>
      <c r="E32" s="348" t="inlineStr">
        <is>
          <t>No</t>
        </is>
      </c>
      <c r="F32" s="348" t="inlineStr">
        <is>
          <t>Braesch v. Union Ins. Co.</t>
        </is>
      </c>
      <c r="G32" s="348" t="inlineStr">
        <is>
          <t>https://law.justia.com</t>
        </is>
      </c>
      <c r="H32" s="348" t="inlineStr">
        <is>
          <t>Nebraska recognizes limited insurer bad-faith remedies.</t>
        </is>
      </c>
    </row>
    <row r="33">
      <c r="A33" s="348" t="inlineStr">
        <is>
          <t>Nevada</t>
        </is>
      </c>
      <c r="B33" s="348" t="inlineStr">
        <is>
          <t>Yes</t>
        </is>
      </c>
      <c r="C33" s="348" t="inlineStr">
        <is>
          <t>Yes</t>
        </is>
      </c>
      <c r="D33" s="348" t="inlineStr">
        <is>
          <t>Limited</t>
        </is>
      </c>
      <c r="E33" s="348" t="inlineStr">
        <is>
          <t>Yes</t>
        </is>
      </c>
      <c r="F33" s="348" t="inlineStr">
        <is>
          <t>Nev. Rev. Stat. § 686A.310</t>
        </is>
      </c>
      <c r="G33" s="348" t="inlineStr">
        <is>
          <t>https://www.leg.state.nv.us</t>
        </is>
      </c>
      <c r="H33" s="348" t="inlineStr">
        <is>
          <t>Nevada recognizes insurer bad-faith claims and statutory unfair practices remedies.</t>
        </is>
      </c>
    </row>
    <row r="34">
      <c r="A34" s="348" t="inlineStr">
        <is>
          <t>New Hampshire</t>
        </is>
      </c>
      <c r="B34" s="348" t="inlineStr">
        <is>
          <t>Yes</t>
        </is>
      </c>
      <c r="C34" s="348" t="inlineStr">
        <is>
          <t>Yes</t>
        </is>
      </c>
      <c r="D34" s="348" t="inlineStr">
        <is>
          <t>Limited</t>
        </is>
      </c>
      <c r="E34" s="348" t="inlineStr">
        <is>
          <t>Yes</t>
        </is>
      </c>
      <c r="F34" s="348" t="inlineStr">
        <is>
          <t>N.H. Rev. Stat. § 417:4</t>
        </is>
      </c>
      <c r="G34" s="348" t="inlineStr">
        <is>
          <t>https://www.gencourt.state.nh.us</t>
        </is>
      </c>
      <c r="H34" s="348" t="inlineStr">
        <is>
          <t>New Hampshire provides statutory and common-law remedies for insurer misconduct.</t>
        </is>
      </c>
    </row>
    <row r="35">
      <c r="A35" s="348" t="inlineStr">
        <is>
          <t>New Mexico</t>
        </is>
      </c>
      <c r="B35" s="348" t="inlineStr">
        <is>
          <t>Yes</t>
        </is>
      </c>
      <c r="C35" s="348" t="inlineStr">
        <is>
          <t>Yes</t>
        </is>
      </c>
      <c r="D35" s="348" t="inlineStr">
        <is>
          <t>Limited</t>
        </is>
      </c>
      <c r="E35" s="348" t="inlineStr">
        <is>
          <t>Yes</t>
        </is>
      </c>
      <c r="F35" s="348" t="inlineStr">
        <is>
          <t>N.M. Stat. § 59A-16-20</t>
        </is>
      </c>
      <c r="G35" s="348" t="inlineStr">
        <is>
          <t>https://nmonesource.com</t>
        </is>
      </c>
      <c r="H35" s="348" t="inlineStr">
        <is>
          <t>New Mexico recognizes insurer bad-faith claims and statutory remedies.</t>
        </is>
      </c>
    </row>
    <row r="36">
      <c r="A36" s="348" t="inlineStr">
        <is>
          <t>North Dakota</t>
        </is>
      </c>
      <c r="B36" s="348" t="inlineStr">
        <is>
          <t>Limited</t>
        </is>
      </c>
      <c r="C36" s="348" t="inlineStr">
        <is>
          <t>Limited</t>
        </is>
      </c>
      <c r="D36" s="348" t="inlineStr">
        <is>
          <t>No</t>
        </is>
      </c>
      <c r="E36" s="348" t="inlineStr">
        <is>
          <t>No</t>
        </is>
      </c>
      <c r="F36" s="348" t="inlineStr">
        <is>
          <t>Corwin Chrysler-Plymouth v. Westchester</t>
        </is>
      </c>
      <c r="G36" s="348" t="inlineStr">
        <is>
          <t>https://law.justia.com</t>
        </is>
      </c>
      <c r="H36" s="348" t="inlineStr">
        <is>
          <t>North Dakota recognizes limited insurer bad-faith theories.</t>
        </is>
      </c>
    </row>
    <row r="37">
      <c r="A37" s="348" t="inlineStr">
        <is>
          <t>Ohio</t>
        </is>
      </c>
      <c r="B37" s="348" t="inlineStr">
        <is>
          <t>Yes</t>
        </is>
      </c>
      <c r="C37" s="348" t="inlineStr">
        <is>
          <t>Yes</t>
        </is>
      </c>
      <c r="D37" s="348" t="inlineStr">
        <is>
          <t>Limited</t>
        </is>
      </c>
      <c r="E37" s="348" t="inlineStr">
        <is>
          <t>No</t>
        </is>
      </c>
      <c r="F37" s="348" t="inlineStr">
        <is>
          <t>Hoskins v. Aetna Life Ins. Co.</t>
        </is>
      </c>
      <c r="G37" s="348" t="inlineStr">
        <is>
          <t>https://law.justia.com</t>
        </is>
      </c>
      <c r="H37" s="348" t="inlineStr">
        <is>
          <t>Ohio recognizes common-law insurer bad-faith claims.</t>
        </is>
      </c>
    </row>
    <row r="38">
      <c r="A38" s="348" t="inlineStr">
        <is>
          <t>Oklahoma</t>
        </is>
      </c>
      <c r="B38" s="348" t="inlineStr">
        <is>
          <t>Yes</t>
        </is>
      </c>
      <c r="C38" s="348" t="inlineStr">
        <is>
          <t>Yes</t>
        </is>
      </c>
      <c r="D38" s="348" t="inlineStr">
        <is>
          <t>Limited</t>
        </is>
      </c>
      <c r="E38" s="348" t="inlineStr">
        <is>
          <t>No</t>
        </is>
      </c>
      <c r="F38" s="348" t="inlineStr">
        <is>
          <t>Christian v. American Home Assurance Co.</t>
        </is>
      </c>
      <c r="G38" s="348" t="inlineStr">
        <is>
          <t>https://law.justia.com</t>
        </is>
      </c>
      <c r="H38" s="348" t="inlineStr">
        <is>
          <t>Oklahoma recognizes the tort of insurer bad faith.</t>
        </is>
      </c>
    </row>
    <row r="39">
      <c r="A39" s="348" t="inlineStr">
        <is>
          <t>Oregon</t>
        </is>
      </c>
      <c r="B39" s="348" t="inlineStr">
        <is>
          <t>Limited</t>
        </is>
      </c>
      <c r="C39" s="348" t="inlineStr">
        <is>
          <t>No</t>
        </is>
      </c>
      <c r="D39" s="348" t="inlineStr">
        <is>
          <t>No</t>
        </is>
      </c>
      <c r="E39" s="348" t="inlineStr">
        <is>
          <t>Yes</t>
        </is>
      </c>
      <c r="F39" s="348" t="inlineStr">
        <is>
          <t>Or. Rev. Stat. § 746.230</t>
        </is>
      </c>
      <c r="G39" s="348" t="inlineStr">
        <is>
          <t>https://www.oregonlegislature.gov</t>
        </is>
      </c>
      <c r="H39" s="348" t="inlineStr">
        <is>
          <t>Oregon generally relies on statutory unfair-claims remedies rather than a standalone insurer bad-faith tort.</t>
        </is>
      </c>
    </row>
    <row r="40">
      <c r="A40" s="348" t="inlineStr">
        <is>
          <t>Rhode Island</t>
        </is>
      </c>
      <c r="B40" s="348" t="inlineStr">
        <is>
          <t>Yes</t>
        </is>
      </c>
      <c r="C40" s="348" t="inlineStr">
        <is>
          <t>Yes</t>
        </is>
      </c>
      <c r="D40" s="348" t="inlineStr">
        <is>
          <t>Limited</t>
        </is>
      </c>
      <c r="E40" s="348" t="inlineStr">
        <is>
          <t>Yes</t>
        </is>
      </c>
      <c r="F40" s="348" t="inlineStr">
        <is>
          <t>R.I. Gen. Laws § 9-1-33</t>
        </is>
      </c>
      <c r="G40" s="348" t="inlineStr">
        <is>
          <t>https://webserver.rilegislature.gov</t>
        </is>
      </c>
      <c r="H40" s="348" t="inlineStr">
        <is>
          <t>Rhode Island provides statutory bad-faith remedies for insureds.</t>
        </is>
      </c>
    </row>
    <row r="41">
      <c r="A41" s="348" t="inlineStr">
        <is>
          <t>South Carolina</t>
        </is>
      </c>
      <c r="B41" s="348" t="inlineStr">
        <is>
          <t>Yes</t>
        </is>
      </c>
      <c r="C41" s="348" t="inlineStr">
        <is>
          <t>Yes</t>
        </is>
      </c>
      <c r="D41" s="348" t="inlineStr">
        <is>
          <t>Limited</t>
        </is>
      </c>
      <c r="E41" s="348" t="inlineStr">
        <is>
          <t>No</t>
        </is>
      </c>
      <c r="F41" s="348" t="inlineStr">
        <is>
          <t>Nichols v. State Farm</t>
        </is>
      </c>
      <c r="G41" s="348" t="inlineStr">
        <is>
          <t>https://law.justia.com</t>
        </is>
      </c>
      <c r="H41" s="348" t="inlineStr">
        <is>
          <t>South Carolina recognizes common-law insurer bad-faith claims.</t>
        </is>
      </c>
    </row>
    <row r="42">
      <c r="A42" s="348" t="inlineStr">
        <is>
          <t>South Dakota</t>
        </is>
      </c>
      <c r="B42" s="348" t="inlineStr">
        <is>
          <t>Yes</t>
        </is>
      </c>
      <c r="C42" s="348" t="inlineStr">
        <is>
          <t>Yes</t>
        </is>
      </c>
      <c r="D42" s="348" t="inlineStr">
        <is>
          <t>Limited</t>
        </is>
      </c>
      <c r="E42" s="348" t="inlineStr">
        <is>
          <t>No</t>
        </is>
      </c>
      <c r="F42" s="348" t="inlineStr">
        <is>
          <t>Champion v. U.S. Fidelity &amp; Guaranty Co.</t>
        </is>
      </c>
      <c r="G42" s="348" t="inlineStr">
        <is>
          <t>https://law.justia.com/cases/south-dakota/supreme-court/1987/15367-1.html</t>
        </is>
      </c>
      <c r="H42" s="348" t="inlineStr">
        <is>
          <t>South Dakota recognizes first-party insurer bad faith as a tort; third-party remedies are limited.</t>
        </is>
      </c>
    </row>
    <row r="43">
      <c r="A43" s="348" t="inlineStr">
        <is>
          <t>Tennessee</t>
        </is>
      </c>
      <c r="B43" s="348" t="inlineStr">
        <is>
          <t>Limited</t>
        </is>
      </c>
      <c r="C43" s="348" t="inlineStr">
        <is>
          <t>Limited</t>
        </is>
      </c>
      <c r="D43" s="348" t="inlineStr">
        <is>
          <t>Limited</t>
        </is>
      </c>
      <c r="E43" s="348" t="inlineStr">
        <is>
          <t>Yes</t>
        </is>
      </c>
      <c r="F43" s="348" t="inlineStr">
        <is>
          <t>Tenn. Code Ann. § 56-7-105; State Auto. Ins. Co. v. Rowland</t>
        </is>
      </c>
      <c r="G43" s="348" t="inlineStr">
        <is>
          <t>https://law.justia.com/codes/tennessee/title-56/chapter-7/part-1/section-56-7-105/</t>
        </is>
      </c>
      <c r="H43" s="348" t="inlineStr">
        <is>
          <t>Tennessee provides a statutory bad-faith penalty for covered claim-payment failures and limited failure-to-settle remedies.</t>
        </is>
      </c>
    </row>
    <row r="44">
      <c r="A44" s="348" t="inlineStr">
        <is>
          <t>Utah</t>
        </is>
      </c>
      <c r="B44" s="348" t="inlineStr">
        <is>
          <t>Yes</t>
        </is>
      </c>
      <c r="C44" s="348" t="inlineStr">
        <is>
          <t>Yes</t>
        </is>
      </c>
      <c r="D44" s="348" t="inlineStr">
        <is>
          <t>Limited</t>
        </is>
      </c>
      <c r="E44" s="348" t="inlineStr">
        <is>
          <t>Limited</t>
        </is>
      </c>
      <c r="F44" s="348" t="inlineStr">
        <is>
          <t>Utah Code § 31A-26-303; Beck v. Farmers Insurance Exchange</t>
        </is>
      </c>
      <c r="G44" s="348" t="inlineStr">
        <is>
          <t>https://le.utah.gov/xcode/Title31A/Chapter26/31A-26-S303.html</t>
        </is>
      </c>
      <c r="H44" s="348" t="inlineStr">
        <is>
          <t>Utah recognizes first-party insurer bad-faith claims; statutory unfair-claims provisions also regulate claim handling.</t>
        </is>
      </c>
    </row>
    <row r="45">
      <c r="A45" s="348" t="inlineStr">
        <is>
          <t>Vermont</t>
        </is>
      </c>
      <c r="B45" s="348" t="inlineStr">
        <is>
          <t>Yes</t>
        </is>
      </c>
      <c r="C45" s="348" t="inlineStr">
        <is>
          <t>Yes</t>
        </is>
      </c>
      <c r="D45" s="348" t="inlineStr">
        <is>
          <t>Limited</t>
        </is>
      </c>
      <c r="E45" s="348" t="inlineStr">
        <is>
          <t>No</t>
        </is>
      </c>
      <c r="F45" s="348" t="inlineStr">
        <is>
          <t>Bushey v. Allstate Insurance Co.; Myers v. Ambassador Insurance Co.</t>
        </is>
      </c>
      <c r="G45" s="348" t="inlineStr">
        <is>
          <t>https://www.vermontjudiciary.org</t>
        </is>
      </c>
      <c r="H45" s="348" t="inlineStr">
        <is>
          <t>Vermont recognizes first-party bad-faith claims; third-party liability-claim duties are more limited.</t>
        </is>
      </c>
    </row>
    <row r="46">
      <c r="A46" s="348" t="inlineStr">
        <is>
          <t>Virginia</t>
        </is>
      </c>
      <c r="B46" s="348" t="inlineStr">
        <is>
          <t>Limited</t>
        </is>
      </c>
      <c r="C46" s="348" t="inlineStr">
        <is>
          <t>Limited</t>
        </is>
      </c>
      <c r="D46" s="348" t="inlineStr">
        <is>
          <t>Limited</t>
        </is>
      </c>
      <c r="E46" s="348" t="inlineStr">
        <is>
          <t>Yes</t>
        </is>
      </c>
      <c r="F46" s="348" t="inlineStr">
        <is>
          <t>Va. Code §§ 8.01-66.1, 38.2-209</t>
        </is>
      </c>
      <c r="G46" s="348" t="inlineStr">
        <is>
          <t>https://law.lis.virginia.gov/vacode/title8.01/chapter3/section8.01-66.1/</t>
        </is>
      </c>
      <c r="H46" s="348" t="inlineStr">
        <is>
          <t>Virginia provides statutory bad-faith remedies in specified insurance and motor-vehicle claim contexts.</t>
        </is>
      </c>
    </row>
    <row r="47">
      <c r="A47" s="348" t="inlineStr">
        <is>
          <t>Washington</t>
        </is>
      </c>
      <c r="B47" s="348" t="inlineStr">
        <is>
          <t>Yes</t>
        </is>
      </c>
      <c r="C47" s="348" t="inlineStr">
        <is>
          <t>Yes</t>
        </is>
      </c>
      <c r="D47" s="348" t="inlineStr">
        <is>
          <t>Limited</t>
        </is>
      </c>
      <c r="E47" s="348" t="inlineStr">
        <is>
          <t>Yes</t>
        </is>
      </c>
      <c r="F47" s="348" t="inlineStr">
        <is>
          <t>RCW 48.30.015; RCW 48.01.030</t>
        </is>
      </c>
      <c r="G47" s="348" t="inlineStr">
        <is>
          <t>https://app.leg.wa.gov/rcw/default.aspx?cite=48.30.015</t>
        </is>
      </c>
      <c r="H47" s="348" t="inlineStr">
        <is>
          <t>Washington recognizes common-law and statutory first-party insurer bad-faith remedies; third-party claimant rights are limited.</t>
        </is>
      </c>
    </row>
    <row r="48">
      <c r="A48" s="348" t="inlineStr">
        <is>
          <t>West Virginia</t>
        </is>
      </c>
      <c r="B48" s="348" t="inlineStr">
        <is>
          <t>Yes</t>
        </is>
      </c>
      <c r="C48" s="348" t="inlineStr">
        <is>
          <t>Yes</t>
        </is>
      </c>
      <c r="D48" s="348" t="inlineStr">
        <is>
          <t>Limited</t>
        </is>
      </c>
      <c r="E48" s="348" t="inlineStr">
        <is>
          <t>Yes</t>
        </is>
      </c>
      <c r="F48" s="348" t="inlineStr">
        <is>
          <t>W. Va. Code § 33-11-4a; Jenkins v. J.C. Penney Casualty Ins. Co.</t>
        </is>
      </c>
      <c r="G48" s="348" t="inlineStr">
        <is>
          <t>https://code.wvlegislature.gov/33-11-4A/</t>
        </is>
      </c>
      <c r="H48" s="348" t="inlineStr">
        <is>
          <t>West Virginia provides statutory unfair-claims remedies; third-party rights are limited and procedure-dependent.</t>
        </is>
      </c>
    </row>
    <row r="49">
      <c r="A49" s="348" t="inlineStr">
        <is>
          <t>Wisconsin</t>
        </is>
      </c>
      <c r="B49" s="348" t="inlineStr">
        <is>
          <t>Yes</t>
        </is>
      </c>
      <c r="C49" s="348" t="inlineStr">
        <is>
          <t>Yes</t>
        </is>
      </c>
      <c r="D49" s="348" t="inlineStr">
        <is>
          <t>Limited</t>
        </is>
      </c>
      <c r="E49" s="348" t="inlineStr">
        <is>
          <t>Limited</t>
        </is>
      </c>
      <c r="F49" s="348" t="inlineStr">
        <is>
          <t>Anderson v. Continental Ins. Co.; Wis. Stat. § 628.46</t>
        </is>
      </c>
      <c r="G49" s="348" t="inlineStr">
        <is>
          <t>https://docs.legis.wisconsin.gov/statutes/statutes/628/46</t>
        </is>
      </c>
      <c r="H49" s="348" t="inlineStr">
        <is>
          <t>Wisconsin recognizes first-party insurer bad faith; prompt-payment interest may also apply to covered claims.</t>
        </is>
      </c>
    </row>
    <row r="50">
      <c r="A50" s="348" t="inlineStr">
        <is>
          <t>Wyoming</t>
        </is>
      </c>
      <c r="B50" s="348" t="inlineStr">
        <is>
          <t>Yes</t>
        </is>
      </c>
      <c r="C50" s="348" t="inlineStr">
        <is>
          <t>Yes</t>
        </is>
      </c>
      <c r="D50" s="348" t="inlineStr">
        <is>
          <t>Limited</t>
        </is>
      </c>
      <c r="E50" s="348" t="inlineStr">
        <is>
          <t>No</t>
        </is>
      </c>
      <c r="F50" s="348" t="inlineStr">
        <is>
          <t>Herrig v. Herrig</t>
        </is>
      </c>
      <c r="G50" s="348" t="inlineStr">
        <is>
          <t>https://law.justia.com/cases/wyoming/supreme-court/1992/122987.html</t>
        </is>
      </c>
      <c r="H50" s="348" t="inlineStr">
        <is>
          <t>Wyoming recognizes first-party insurer bad faith; direct third-party claimant actions against insurers are limited.</t>
        </is>
      </c>
    </row>
    <row r="51">
      <c r="A51" s="348" t="inlineStr">
        <is>
          <t>Hawaii</t>
        </is>
      </c>
      <c r="B51" s="348" t="inlineStr">
        <is>
          <t>Yes</t>
        </is>
      </c>
      <c r="C51" s="348" t="inlineStr">
        <is>
          <t>Yes</t>
        </is>
      </c>
      <c r="D51" s="348" t="inlineStr">
        <is>
          <t>Limited</t>
        </is>
      </c>
      <c r="E51" s="348" t="inlineStr">
        <is>
          <t>No</t>
        </is>
      </c>
      <c r="F51" s="348" t="inlineStr">
        <is>
          <t>Best Place, Inc. v. Penn America Insurance Co.</t>
        </is>
      </c>
      <c r="G51" s="348" t="inlineStr">
        <is>
          <t>https://oaoa.hawaii.gov/jud/ica19968.htm</t>
        </is>
      </c>
      <c r="H51" s="348" t="inlineStr">
        <is>
          <t>Hawaii recognizes insurer bad faith as an independent tort arising from the insurance relationship.</t>
        </is>
      </c>
    </row>
  </sheetData>
  <dataValidations count="4">
    <dataValidation sqref="B2:B51" showDropDown="0" showInputMessage="0" showErrorMessage="0" allowBlank="0" type="list">
      <formula1>"Yes,No,Limited"</formula1>
    </dataValidation>
    <dataValidation sqref="C2:C51" showDropDown="0" showInputMessage="0" showErrorMessage="0" allowBlank="0" type="list">
      <formula1>"Yes,No,Limited"</formula1>
    </dataValidation>
    <dataValidation sqref="D2:D51" showDropDown="0" showInputMessage="0" showErrorMessage="0" allowBlank="0" type="list">
      <formula1>"Yes,No,Limited"</formula1>
    </dataValidation>
    <dataValidation sqref="E2:E51" showDropDown="0" showInputMessage="0" showErrorMessage="0" allowBlank="0" type="list">
      <formula1>"Yes,No,Limited"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.64999961853027" customWidth="1" style="355" min="1" max="1"/>
    <col width="40.77999877929688" customWidth="1" style="355" min="2" max="2"/>
    <col width="62.18000030517578" customWidth="1" style="355" min="3" max="3"/>
    <col width="67.83000183105469" customWidth="1" style="355" min="4" max="4"/>
    <col width="69.72000122070312" customWidth="1" style="355" min="5" max="5"/>
    <col width="182.3699951171875" customWidth="1" style="355" min="6" max="6"/>
    <col width="137.2799987792969" customWidth="1" style="355" min="7" max="7"/>
  </cols>
  <sheetData>
    <row r="1">
      <c r="A1" s="420" t="inlineStr">
        <is>
          <t>State</t>
        </is>
      </c>
      <c r="B1" s="420" t="inlineStr">
        <is>
          <t>Acknowledgment Deadline</t>
        </is>
      </c>
      <c r="C1" s="420" t="inlineStr">
        <is>
          <t>Investigation Deadline</t>
        </is>
      </c>
      <c r="D1" s="420" t="inlineStr">
        <is>
          <t>Payment Deadline</t>
        </is>
      </c>
      <c r="E1" s="420" t="inlineStr">
        <is>
          <t>Citation</t>
        </is>
      </c>
      <c r="F1" s="420" t="inlineStr">
        <is>
          <t>URL</t>
        </is>
      </c>
      <c r="G1" s="420" t="inlineStr">
        <is>
          <t>Notes</t>
        </is>
      </c>
    </row>
    <row r="2" ht="66" customHeight="1" s="355">
      <c r="A2" s="348" t="inlineStr">
        <is>
          <t>Alabama</t>
        </is>
      </c>
      <c r="B2" s="348" t="inlineStr">
        <is>
          <t>15 days</t>
        </is>
      </c>
      <c r="C2" s="348" t="inlineStr">
        <is>
          <t>30 days / 45-day updates</t>
        </is>
      </c>
      <c r="D2" s="348" t="inlineStr">
        <is>
          <t>30 days after agreement</t>
        </is>
      </c>
      <c r="E2" s="348" t="inlineStr">
        <is>
          <t>Ala. Admin. Code r. 482-1-125-.01 to .11; r. 482-1-124-.01 to .07</t>
        </is>
      </c>
      <c r="F2" s="348" t="inlineStr">
        <is>
          <t>https://www.alabamaadministrativecode.state.al.us</t>
        </is>
      </c>
      <c r="G2" s="348" t="inlineStr">
        <is>
          <t>P&amp;C: respond within 15 days; status within 30 days; 45-day updates; pay within 30 days after liability agreement.</t>
        </is>
      </c>
    </row>
    <row r="3" ht="66" customHeight="1" s="355">
      <c r="A3" s="348" t="inlineStr">
        <is>
          <t>Alaska</t>
        </is>
      </c>
      <c r="B3" s="348" t="inlineStr">
        <is>
          <t>10 working days</t>
        </is>
      </c>
      <c r="C3" s="348" t="inlineStr">
        <is>
          <t>15 working days / 45-day updates</t>
        </is>
      </c>
      <c r="D3" s="348" t="inlineStr">
        <is>
          <t>30 working days</t>
        </is>
      </c>
      <c r="E3" s="348" t="inlineStr">
        <is>
          <t>3 AAC 26.040 to 26.070</t>
        </is>
      </c>
      <c r="F3" s="348" t="inlineStr">
        <is>
          <t>https://www.akleg.gov/basis/aac.asp</t>
        </is>
      </c>
      <c r="G3" s="348" t="inlineStr">
        <is>
          <t>Insurer must acknowledge within 10 working days and accept or deny first-party claims within 15 working days after proof.</t>
        </is>
      </c>
    </row>
    <row r="4" ht="66" customHeight="1" s="355">
      <c r="A4" s="348" t="inlineStr">
        <is>
          <t>Arizona</t>
        </is>
      </c>
      <c r="B4" s="348" t="inlineStr">
        <is>
          <t>10 working days</t>
        </is>
      </c>
      <c r="C4" s="348" t="inlineStr">
        <is>
          <t>30 days / 45-day updates</t>
        </is>
      </c>
      <c r="D4" s="348" t="inlineStr">
        <is>
          <t>30 days</t>
        </is>
      </c>
      <c r="E4" s="348" t="inlineStr">
        <is>
          <t>A.R.S. § 20-462; Ariz. Admin. Code R20-6-801</t>
        </is>
      </c>
      <c r="F4" s="348" t="inlineStr">
        <is>
          <t>https://apps.azsos.gov/public_services/Title_20/20-06.pdf</t>
        </is>
      </c>
      <c r="G4" s="348" t="inlineStr">
        <is>
          <t>Investigation should be completed within 30 days unless more time is reasonably needed; delay notices required.</t>
        </is>
      </c>
    </row>
    <row r="5" ht="66" customHeight="1" s="355">
      <c r="A5" s="348" t="inlineStr">
        <is>
          <t>Arkansas</t>
        </is>
      </c>
      <c r="B5" s="348" t="inlineStr">
        <is>
          <t>15 working days</t>
        </is>
      </c>
      <c r="C5" s="348" t="inlineStr">
        <is>
          <t>45 days / 45-day updates</t>
        </is>
      </c>
      <c r="D5" s="348" t="inlineStr">
        <is>
          <t>15 working days after acceptance/denial</t>
        </is>
      </c>
      <c r="E5" s="348" t="inlineStr">
        <is>
          <t>Ark. Ins. Rule 43; Ark. Code Ann. § 23-66-215</t>
        </is>
      </c>
      <c r="F5" s="348" t="inlineStr">
        <is>
          <t>https://codeofarrules.arkansas.gov/Rules/Rule?chapterID=39&amp;levelType=section&amp;partID=615&amp;sectionID=27084&amp;subChapterID=187&amp;subPartID=4304&amp;titleID=23</t>
        </is>
      </c>
      <c r="G5" s="348" t="inlineStr">
        <is>
          <t>Insurer must acknowledge within 15 working days and complete investigation within 45 days or explain delay.</t>
        </is>
      </c>
    </row>
    <row r="6" ht="66" customHeight="1" s="355">
      <c r="A6" s="348" t="inlineStr">
        <is>
          <t>California</t>
        </is>
      </c>
      <c r="B6" s="348" t="inlineStr">
        <is>
          <t>15 days</t>
        </is>
      </c>
      <c r="C6" s="348" t="inlineStr">
        <is>
          <t>40 days / 30-day updates</t>
        </is>
      </c>
      <c r="D6" s="348" t="inlineStr">
        <is>
          <t>30 days after acceptance</t>
        </is>
      </c>
      <c r="E6" s="348" t="inlineStr">
        <is>
          <t>10 Cal. Code Regs. §§ 2695.1 to 2695.14</t>
        </is>
      </c>
      <c r="F6" s="348" t="inlineStr">
        <is>
          <t>https://www.insurance.ca.gov/01-consumers/130-laws-regs-hearings/05-CCR/fair-claims-regs.cfm</t>
        </is>
      </c>
      <c r="G6" s="348" t="inlineStr">
        <is>
          <t>Insurer must acknowledge communications within 15 days and accept or deny within 40 days after proof of claim.</t>
        </is>
      </c>
    </row>
    <row r="7" ht="66" customHeight="1" s="355">
      <c r="A7" s="348" t="inlineStr">
        <is>
          <t>Colorado</t>
        </is>
      </c>
      <c r="B7" s="348" t="inlineStr">
        <is>
          <t>Promptly / 15 days for forms</t>
        </is>
      </c>
      <c r="C7" s="348" t="inlineStr">
        <is>
          <t>90 days / 180 days unusual circumstances</t>
        </is>
      </c>
      <c r="D7" s="348" t="inlineStr">
        <is>
          <t>60 days after valid claim</t>
        </is>
      </c>
      <c r="E7" s="348" t="inlineStr">
        <is>
          <t>Colo. Rev. Stat. § 10-3-1104; 3 CCR 702-5:5-1-14</t>
        </is>
      </c>
      <c r="F7" s="348" t="inlineStr">
        <is>
          <t>https://doi.colorado.gov/for-consumers/file-a-complaint/consumer-resources/laws-regulations-bulletins</t>
        </is>
      </c>
      <c r="G7" s="348" t="inlineStr">
        <is>
          <t>First-party P&amp;C valid claims generally must be paid within 60 days; delay notices continue every 30 days.</t>
        </is>
      </c>
    </row>
    <row r="8" ht="66" customHeight="1" s="355">
      <c r="A8" s="348" t="inlineStr">
        <is>
          <t>Connecticut</t>
        </is>
      </c>
      <c r="B8" s="348" t="inlineStr">
        <is>
          <t>Reasonably promptly</t>
        </is>
      </c>
      <c r="C8" s="348" t="inlineStr">
        <is>
          <t>Not specified</t>
        </is>
      </c>
      <c r="D8" s="348" t="inlineStr">
        <is>
          <t>Promptly</t>
        </is>
      </c>
      <c r="E8" s="348" t="inlineStr">
        <is>
          <t>Conn. Gen. Stat. § 38a-816; § 38a-452</t>
        </is>
      </c>
      <c r="F8" s="348" t="inlineStr">
        <is>
          <t>https://www.cga.ct.gov/current/pub/chap_704.htm</t>
        </is>
      </c>
      <c r="G8" s="348" t="inlineStr">
        <is>
          <t>General unfair-claims statute uses prompt/reasonable promptness language rather than fixed P&amp;C day counts.</t>
        </is>
      </c>
    </row>
    <row r="9" ht="66" customHeight="1" s="355">
      <c r="A9" s="348" t="inlineStr">
        <is>
          <t>Delaware</t>
        </is>
      </c>
      <c r="B9" s="348" t="inlineStr">
        <is>
          <t>15 working days</t>
        </is>
      </c>
      <c r="C9" s="348" t="inlineStr">
        <is>
          <t>10 working days to begin</t>
        </is>
      </c>
      <c r="D9" s="348" t="inlineStr">
        <is>
          <t>30 days after agreement</t>
        </is>
      </c>
      <c r="E9" s="348" t="inlineStr">
        <is>
          <t>18 Del. Admin. Code 902 and 903</t>
        </is>
      </c>
      <c r="F9" s="348" t="inlineStr">
        <is>
          <t>https://regulations.delaware.gov/AdminCode/title18/900/</t>
        </is>
      </c>
      <c r="G9" s="348" t="inlineStr">
        <is>
          <t>Prompt payment is defined as within 30 days after agreement; investigation must begin within 10 working days.</t>
        </is>
      </c>
    </row>
    <row r="10" ht="66" customHeight="1" s="355">
      <c r="A10" s="348" t="inlineStr">
        <is>
          <t>Florida</t>
        </is>
      </c>
      <c r="B10" s="348" t="inlineStr">
        <is>
          <t>14 days / 15 days health non-electronic</t>
        </is>
      </c>
      <c r="C10" s="348" t="inlineStr">
        <is>
          <t>60 days property / 90 days health determination</t>
        </is>
      </c>
      <c r="D10" s="348" t="inlineStr">
        <is>
          <t>20 days after settlement agreement / 60 days property</t>
        </is>
      </c>
      <c r="E10" s="348" t="inlineStr">
        <is>
          <t>Fla. Stat. §§ 626.9541, 627.4265, 627.70131</t>
        </is>
      </c>
      <c r="F10" s="348" t="inlineStr">
        <is>
          <t>https://www.leg.state.fl.us/Statutes/index.cfm?App_mode=Display_Statute&amp;URL=0600-0699/0626/Sections/0626.9541.html</t>
        </is>
      </c>
      <c r="G10" s="348" t="inlineStr">
        <is>
          <t>Property claims generally require acknowledgment and payment/denial within statutory timeframes; settlement payments due within 20 days.</t>
        </is>
      </c>
    </row>
    <row r="11" ht="66" customHeight="1" s="355">
      <c r="A11" s="348" t="inlineStr">
        <is>
          <t>Georgia</t>
        </is>
      </c>
      <c r="B11" s="348" t="inlineStr">
        <is>
          <t>15 days</t>
        </is>
      </c>
      <c r="C11" s="348" t="inlineStr">
        <is>
          <t>30 days / 60 days maximum</t>
        </is>
      </c>
      <c r="D11" s="348" t="inlineStr">
        <is>
          <t>10 days after coverage confirmed</t>
        </is>
      </c>
      <c r="E11" s="348" t="inlineStr">
        <is>
          <t>Ga. Comp. R. &amp; Regs. 120-2-52-.01 to .03</t>
        </is>
      </c>
      <c r="F11" s="348" t="inlineStr">
        <is>
          <t>https://rules.sos.ga.gov/gac/120-2-52</t>
        </is>
      </c>
      <c r="G11" s="348" t="inlineStr">
        <is>
          <t>Private passenger auto first-party property claims have specific acknowledgment, coverage, and payment timing rules.</t>
        </is>
      </c>
    </row>
    <row r="12" ht="66" customHeight="1" s="355">
      <c r="A12" s="348" t="inlineStr">
        <is>
          <t>Hawaii</t>
        </is>
      </c>
      <c r="B12" s="348" t="inlineStr">
        <is>
          <t>15 working days</t>
        </is>
      </c>
      <c r="C12" s="348" t="inlineStr">
        <is>
          <t>30-day unresolved-delay explanation</t>
        </is>
      </c>
      <c r="D12" s="348" t="inlineStr">
        <is>
          <t>30 days if amount determined and undisputed</t>
        </is>
      </c>
      <c r="E12" s="348" t="inlineStr">
        <is>
          <t>Haw. Rev. Stat. § 431:13-103</t>
        </is>
      </c>
      <c r="F12" s="348" t="inlineStr">
        <is>
          <t>https://www.capitol.hawaii.gov/hrscurrent/Vol09_Ch0431-0435H/HRS0431/HRS_0431-0013-0103.htm</t>
        </is>
      </c>
      <c r="G12" s="348" t="inlineStr">
        <is>
          <t>Claims communications must be handled with reasonable promptness, generally no more than 15 working days.</t>
        </is>
      </c>
    </row>
    <row r="13" ht="66" customHeight="1" s="355">
      <c r="A13" s="348" t="inlineStr">
        <is>
          <t>Idaho</t>
        </is>
      </c>
      <c r="B13" s="348" t="inlineStr">
        <is>
          <t>Reasonably Promptly</t>
        </is>
      </c>
      <c r="C13" s="348" t="inlineStr">
        <is>
          <t>Prompt Investigation</t>
        </is>
      </c>
      <c r="D13" s="348" t="inlineStr">
        <is>
          <t>Reasonable Time after completed proof of loss / Prompt Payment Required</t>
        </is>
      </c>
      <c r="E13" s="348" t="inlineStr">
        <is>
          <t>Idaho Code § 41-1329(2)-(6), (14)</t>
        </is>
      </c>
      <c r="F13" s="348" t="inlineStr">
        <is>
          <t>https://legislature.idaho.gov/statutesrules/idstat/Title41/T41CH13/SECT41-1329/</t>
        </is>
      </c>
      <c r="G13" s="348" t="inlineStr">
        <is>
          <t>Idaho general unfair-claims law uses reasonably prompt/prompt/reasonable-time standards; fixed day counts are line-specific and not used as general auto deadlines.</t>
        </is>
      </c>
    </row>
    <row r="14" ht="66" customHeight="1" s="355">
      <c r="A14" s="348" t="inlineStr">
        <is>
          <t>Illinois</t>
        </is>
      </c>
      <c r="B14" s="348" t="inlineStr">
        <is>
          <t>Not specified</t>
        </is>
      </c>
      <c r="C14" s="348" t="inlineStr">
        <is>
          <t>40/60 days auto median periods; 45-day explanation</t>
        </is>
      </c>
      <c r="D14" s="348" t="inlineStr">
        <is>
          <t>30 days after liability affirmed</t>
        </is>
      </c>
      <c r="E14" s="348" t="inlineStr">
        <is>
          <t>50 Ill. Adm. Code 919.50, 919.70, 919.80</t>
        </is>
      </c>
      <c r="F14" s="348" t="inlineStr">
        <is>
          <t>https://www.ilga.gov/commission/jcar/admincode/050/05000919sections.html</t>
        </is>
      </c>
      <c r="G14" s="348" t="inlineStr">
        <is>
          <t>Insurer must pay within 30 days after affirming liability; delayed claims require written explanations.</t>
        </is>
      </c>
    </row>
    <row r="15" ht="66" customHeight="1" s="355">
      <c r="A15" s="348" t="inlineStr">
        <is>
          <t>Indiana</t>
        </is>
      </c>
      <c r="B15" s="348" t="inlineStr">
        <is>
          <t>Promptly</t>
        </is>
      </c>
      <c r="C15" s="348" t="inlineStr">
        <is>
          <t>Not specified</t>
        </is>
      </c>
      <c r="D15" s="348" t="inlineStr">
        <is>
          <t>Promptly</t>
        </is>
      </c>
      <c r="E15" s="348" t="inlineStr">
        <is>
          <t>Ind. Code § 27-4-1-4.5</t>
        </is>
      </c>
      <c r="F15" s="348" t="inlineStr">
        <is>
          <t>https://iga.in.gov/laws/2025/ic/titles/27#27-4-1-4.5</t>
        </is>
      </c>
      <c r="G15" s="348" t="inlineStr">
        <is>
          <t>Indiana’s unfair-claim statute uses prompt-claim language rather than fixed general day counts.</t>
        </is>
      </c>
    </row>
    <row r="16" ht="66" customHeight="1" s="355">
      <c r="A16" s="348" t="inlineStr">
        <is>
          <t>Iowa</t>
        </is>
      </c>
      <c r="B16" s="348" t="inlineStr">
        <is>
          <t>15 days</t>
        </is>
      </c>
      <c r="C16" s="348" t="inlineStr">
        <is>
          <t>30 days / 45-day updates</t>
        </is>
      </c>
      <c r="D16" s="348" t="inlineStr">
        <is>
          <t>30 days after liability affirmed</t>
        </is>
      </c>
      <c r="E16" s="348" t="inlineStr">
        <is>
          <t>Iowa Admin. Code r. 191-15.41 to 15.42</t>
        </is>
      </c>
      <c r="F16" s="348" t="inlineStr">
        <is>
          <t>https://www.legis.iowa.gov/law/administrativeRules/rules?agency=191</t>
        </is>
      </c>
      <c r="G16" s="348" t="inlineStr">
        <is>
          <t>P&amp;C claims require acknowledgment within 15 days, decision within 30 days, and 45-day status updates when unresolved.</t>
        </is>
      </c>
    </row>
    <row r="17" ht="66" customHeight="1" s="355">
      <c r="A17" s="348" t="inlineStr">
        <is>
          <t>Kansas</t>
        </is>
      </c>
      <c r="B17" s="348" t="inlineStr">
        <is>
          <t>Reasonably Promptly</t>
        </is>
      </c>
      <c r="C17" s="348" t="inlineStr">
        <is>
          <t>Prompt Investigation</t>
        </is>
      </c>
      <c r="D17" s="348" t="inlineStr">
        <is>
          <t>30 calendar days after agreed amount / Prompt Payment Required</t>
        </is>
      </c>
      <c r="E17" s="348" t="inlineStr">
        <is>
          <t>K.S.A. 40-2404(9)(b)-(f), (n); K.S.A. 40-2,126; K.A.R. 40-1-34</t>
        </is>
      </c>
      <c r="F17" s="348" t="inlineStr">
        <is>
          <t>https://ksrevisor.gov/statutes/chapters/ch40/040_024_0004.html; https://ksrevisor.gov/statutes/chapters/ch40/040_002_0126.html</t>
        </is>
      </c>
      <c r="G17" s="348" t="inlineStr">
        <is>
          <t>Kansas general unfair-claims law uses reasonably prompt/prompt/reasonable-time standards; settlement-payment interest applies 30 calendar days after amount is agreed.</t>
        </is>
      </c>
    </row>
    <row r="18" ht="66" customHeight="1" s="355">
      <c r="A18" s="348" t="inlineStr">
        <is>
          <t>Kentucky</t>
        </is>
      </c>
      <c r="B18" s="348" t="inlineStr">
        <is>
          <t>15 days</t>
        </is>
      </c>
      <c r="C18" s="348" t="inlineStr">
        <is>
          <t>30 days / 45-day updates</t>
        </is>
      </c>
      <c r="D18" s="348" t="inlineStr">
        <is>
          <t>30 days after liability affirmed</t>
        </is>
      </c>
      <c r="E18" s="348" t="inlineStr">
        <is>
          <t>806 KAR 12:095; Ky. Rev. Stat. § 304.12-235</t>
        </is>
      </c>
      <c r="F18" s="348" t="inlineStr">
        <is>
          <t>https://apps.legislature.ky.gov/law/kar/titles/806/012/095/</t>
        </is>
      </c>
      <c r="G18" s="348" t="inlineStr">
        <is>
          <t>P&amp;C claims require acknowledgment/forms within 15 days, decision within 30 days, and 45-day delay updates.</t>
        </is>
      </c>
    </row>
    <row r="19" ht="66" customHeight="1" s="355">
      <c r="A19" s="348" t="inlineStr">
        <is>
          <t>Louisiana</t>
        </is>
      </c>
      <c r="B19" s="348" t="inlineStr">
        <is>
          <t>14 days to initiate claim</t>
        </is>
      </c>
      <c r="C19" s="348" t="inlineStr">
        <is>
          <t>30 days to offer settlement</t>
        </is>
      </c>
      <c r="D19" s="348" t="inlineStr">
        <is>
          <t>30 days</t>
        </is>
      </c>
      <c r="E19" s="348" t="inlineStr">
        <is>
          <t>La. Rev. Stat. §§ 22:1892, 22:1811, 22:1821</t>
        </is>
      </c>
      <c r="F19" s="348" t="inlineStr">
        <is>
          <t>https://legis.la.gov/legis/Law.aspx?d=507316</t>
        </is>
      </c>
      <c r="G19" s="348" t="inlineStr">
        <is>
          <t>Property/casualty insurers must initiate adjustment within 14 days and timely pay after proof or settlement obligations arise.</t>
        </is>
      </c>
    </row>
    <row r="20" ht="66" customHeight="1" s="355">
      <c r="A20" s="348" t="inlineStr">
        <is>
          <t>Maine</t>
        </is>
      </c>
      <c r="B20" s="348" t="inlineStr">
        <is>
          <t>Not specified</t>
        </is>
      </c>
      <c r="C20" s="348" t="inlineStr">
        <is>
          <t>Not specified</t>
        </is>
      </c>
      <c r="D20" s="348" t="inlineStr">
        <is>
          <t>30 days; 60 days fire; 2 months life</t>
        </is>
      </c>
      <c r="E20" s="348" t="inlineStr">
        <is>
          <t>24-A M.R.S. §§ 2436, 3002, 2513</t>
        </is>
      </c>
      <c r="F20" s="348" t="inlineStr">
        <is>
          <t>https://legislature.maine.gov/statutes/24-A/title24-Asec2436.html</t>
        </is>
      </c>
      <c r="G20" s="348" t="inlineStr">
        <is>
          <t>Maine provides line-specific late-payment rules rather than a broad acknowledgment/investigation deadline.</t>
        </is>
      </c>
    </row>
    <row r="21" ht="66" customHeight="1" s="355">
      <c r="A21" s="348" t="inlineStr">
        <is>
          <t>Maryland</t>
        </is>
      </c>
      <c r="B21" s="348" t="inlineStr">
        <is>
          <t>15 working days</t>
        </is>
      </c>
      <c r="C21" s="348" t="inlineStr">
        <is>
          <t>15 working days to affirm/deny P&amp;C</t>
        </is>
      </c>
      <c r="D21" s="348" t="inlineStr">
        <is>
          <t>30 days for PIP/health; 15 working days P&amp;C coverage decision</t>
        </is>
      </c>
      <c r="E21" s="348" t="inlineStr">
        <is>
          <t>COMAR 31.15.07.03; COMAR 31.15.08.03; Md. Code Ins. § 19-508</t>
        </is>
      </c>
      <c r="F21" s="348" t="inlineStr">
        <is>
          <t>https://dsd.maryland.gov/regulations/Pages/31.15.07.03.aspx</t>
        </is>
      </c>
      <c r="G21" s="348" t="inlineStr">
        <is>
          <t>P&amp;C claims generally require acknowledgment and coverage decision within 15 working days.</t>
        </is>
      </c>
    </row>
    <row r="22" ht="66" customHeight="1" s="355">
      <c r="A22" s="348" t="inlineStr">
        <is>
          <t>Massachusetts</t>
        </is>
      </c>
      <c r="B22" s="348" t="inlineStr">
        <is>
          <t>Promptly</t>
        </is>
      </c>
      <c r="C22" s="348" t="inlineStr">
        <is>
          <t>Promptly</t>
        </is>
      </c>
      <c r="D22" s="348" t="inlineStr">
        <is>
          <t>Promptly / 30 days life</t>
        </is>
      </c>
      <c r="E22" s="348" t="inlineStr">
        <is>
          <t>Mass. Gen. Laws ch. 176D, § 3(9); ch. 175, § 119C</t>
        </is>
      </c>
      <c r="F22" s="348" t="inlineStr">
        <is>
          <t>https://malegislature.gov/Laws/GeneralLaws/PartI/TitleXXII/Chapter176D/Section3</t>
        </is>
      </c>
      <c r="G22" s="348" t="inlineStr">
        <is>
          <t>Massachusetts uses prompt-claim standards in its unfair-claims statute; some lines have specific payment rules.</t>
        </is>
      </c>
    </row>
    <row r="23" ht="66" customHeight="1" s="355">
      <c r="A23" s="348" t="inlineStr">
        <is>
          <t>Michigan</t>
        </is>
      </c>
      <c r="B23" s="348" t="inlineStr">
        <is>
          <t>30 days for needed proof information</t>
        </is>
      </c>
      <c r="C23" s="348" t="inlineStr">
        <is>
          <t>30 days deficiency notice for health</t>
        </is>
      </c>
      <c r="D23" s="348" t="inlineStr">
        <is>
          <t>60 days after proof of loss</t>
        </is>
      </c>
      <c r="E23" s="348" t="inlineStr">
        <is>
          <t>Mich. Comp. Laws § 500.2006</t>
        </is>
      </c>
      <c r="F23" s="348" t="inlineStr">
        <is>
          <t>https://www.legislature.mi.gov/Laws/MCL?objectName=mcl-500-2006</t>
        </is>
      </c>
      <c r="G23" s="348" t="inlineStr">
        <is>
          <t>Insurer must identify needed proof within 30 days unless paid; overdue benefits accrue interest after statutory deadlines.</t>
        </is>
      </c>
    </row>
    <row r="24" ht="66" customHeight="1" s="355">
      <c r="A24" s="348" t="inlineStr">
        <is>
          <t>Minnesota</t>
        </is>
      </c>
      <c r="B24" s="348" t="inlineStr">
        <is>
          <t>10 business days</t>
        </is>
      </c>
      <c r="C24" s="348" t="inlineStr">
        <is>
          <t>60 days to accept/deny</t>
        </is>
      </c>
      <c r="D24" s="348" t="inlineStr">
        <is>
          <t>30 business days</t>
        </is>
      </c>
      <c r="E24" s="348" t="inlineStr">
        <is>
          <t>Minn. Stat. § 72A.201, subd. 4; § 62Q.75</t>
        </is>
      </c>
      <c r="F24" s="348" t="inlineStr">
        <is>
          <t>https://www.revisor.mn.gov/statutes/cite/72A.201</t>
        </is>
      </c>
      <c r="G24" s="348" t="inlineStr">
        <is>
          <t>Insurers must acknowledge within 10 business days and notify acceptance or denial within 60 days.</t>
        </is>
      </c>
    </row>
    <row r="25" ht="66" customHeight="1" s="355">
      <c r="A25" s="348" t="inlineStr">
        <is>
          <t>Mississippi</t>
        </is>
      </c>
      <c r="B25" s="348" t="inlineStr">
        <is>
          <t>No Fixed General Auto/P&amp;C Deadline Located</t>
        </is>
      </c>
      <c r="C25" s="348" t="inlineStr">
        <is>
          <t>No Fixed General Auto/P&amp;C Deadline Located</t>
        </is>
      </c>
      <c r="D25" s="348" t="inlineStr">
        <is>
          <t>No Fixed General Auto/P&amp;C Deadline Located</t>
        </is>
      </c>
      <c r="E25" s="348" t="inlineStr">
        <is>
          <t>Miss. Code Ann. § 83-9-5; MID Accident and Health Submission Requirements</t>
        </is>
      </c>
      <c r="F25" s="348" t="inlineStr">
        <is>
          <t>https://www.mid.ms.gov/wp-content/uploads/2023/04/accidentandhealthsubmissionrequirements.pdf</t>
        </is>
      </c>
      <c r="G25" s="348" t="inlineStr">
        <is>
          <t>No broad Mississippi statutory/regulatory auto/P&amp;C claim-handling deadline was located; fixed 15/25/35-day timing is accident-and-health clean-claim specific.</t>
        </is>
      </c>
    </row>
    <row r="26" ht="66" customHeight="1" s="355">
      <c r="A26" s="348" t="inlineStr">
        <is>
          <t>Missouri</t>
        </is>
      </c>
      <c r="B26" s="348" t="inlineStr">
        <is>
          <t>10 working days</t>
        </is>
      </c>
      <c r="C26" s="348" t="inlineStr">
        <is>
          <t>15 working days after forms / 45-day updates</t>
        </is>
      </c>
      <c r="D26" s="348" t="inlineStr">
        <is>
          <t>10 working days</t>
        </is>
      </c>
      <c r="E26" s="348" t="inlineStr">
        <is>
          <t>20 CSR 100-1.010 to 100-1.050</t>
        </is>
      </c>
      <c r="F26" s="348" t="inlineStr">
        <is>
          <t>https://www.sos.mo.gov/cmsimages/adrules/csr/current/20csr/20c100-1.pdf</t>
        </is>
      </c>
      <c r="G26" s="348" t="inlineStr">
        <is>
          <t>Insurer must acknowledge and respond within 10 working days; accept/deny within 15 working days after submitted forms.</t>
        </is>
      </c>
    </row>
    <row r="27" ht="66" customHeight="1" s="355">
      <c r="A27" s="349" t="inlineStr">
        <is>
          <t>Montana</t>
        </is>
      </c>
      <c r="B27" s="349" t="inlineStr">
        <is>
          <t>Reasonable Time</t>
        </is>
      </c>
      <c r="C27" s="349" t="inlineStr">
        <is>
          <t>Prompt Investigation</t>
        </is>
      </c>
      <c r="D27" s="349" t="inlineStr">
        <is>
          <t>Prompt Payment Required</t>
        </is>
      </c>
      <c r="E27" s="349" t="inlineStr">
        <is>
          <t>Mont. Code Ann. § 33-18-201(2), (3), (5), (6)</t>
        </is>
      </c>
      <c r="F27" s="349" t="inlineStr">
        <is>
          <t>https://mca.legmt.gov/bills/mca/title_0330/chapter_0180/part_0020/section_0010/0330-0180-0020-0010.html</t>
        </is>
      </c>
      <c r="G27" s="349" t="inlineStr">
        <is>
          <t>Montana uses reasonable/prompt standards rather than fixed general day counts.</t>
        </is>
      </c>
    </row>
    <row r="28" ht="66" customHeight="1" s="355">
      <c r="A28" s="349" t="inlineStr">
        <is>
          <t>Nebraska</t>
        </is>
      </c>
      <c r="B28" s="349" t="inlineStr">
        <is>
          <t>15 days for claim forms</t>
        </is>
      </c>
      <c r="C28" s="349" t="inlineStr">
        <is>
          <t>Reasonable Time / 15 days after proof for decision</t>
        </is>
      </c>
      <c r="D28" s="349" t="inlineStr">
        <is>
          <t>15 days after acceptance/denial where payment owed</t>
        </is>
      </c>
      <c r="E28" s="349" t="inlineStr">
        <is>
          <t>Neb. Rev. Stat. § 44-1540; 210 Neb. Admin. Code ch. 60/61</t>
        </is>
      </c>
      <c r="F28" s="349" t="inlineStr">
        <is>
          <t>https://nebraskalegislature.gov/laws/statutes.php?statute=44-1540</t>
        </is>
      </c>
      <c r="G28" s="349" t="inlineStr">
        <is>
          <t>Nebraska provides fixed form and decision timing, with broader reasonable/prompt settlement duties.</t>
        </is>
      </c>
    </row>
    <row r="29" ht="66" customHeight="1" s="355">
      <c r="A29" s="349" t="inlineStr">
        <is>
          <t>Nevada</t>
        </is>
      </c>
      <c r="B29" s="349" t="inlineStr">
        <is>
          <t>20 working days</t>
        </is>
      </c>
      <c r="C29" s="349" t="inlineStr">
        <is>
          <t>30 working days / 30-day updates</t>
        </is>
      </c>
      <c r="D29" s="349" t="inlineStr">
        <is>
          <t>30 working days after settlement agreement</t>
        </is>
      </c>
      <c r="E29" s="349" t="inlineStr">
        <is>
          <t>Nev. Admin. Code §§ 686A.660, 686A.675, 686A.690</t>
        </is>
      </c>
      <c r="F29" s="349" t="inlineStr">
        <is>
          <t>https://www.leg.state.nv.us/NAC/NAC-686A.html</t>
        </is>
      </c>
      <c r="G29" s="349" t="inlineStr">
        <is>
          <t>P&amp;C claims use 20-working-day acknowledgment and 30-working-day decision/payment standards.</t>
        </is>
      </c>
    </row>
    <row r="30" ht="66" customHeight="1" s="355">
      <c r="A30" s="349" t="inlineStr">
        <is>
          <t>New Hampshire</t>
        </is>
      </c>
      <c r="B30" s="349" t="inlineStr">
        <is>
          <t>10 working days</t>
        </is>
      </c>
      <c r="C30" s="349" t="inlineStr">
        <is>
          <t>5 working days to commence / 30 days decision</t>
        </is>
      </c>
      <c r="D30" s="349" t="inlineStr">
        <is>
          <t>Promptly after acceptance; 30 days health</t>
        </is>
      </c>
      <c r="E30" s="349" t="inlineStr">
        <is>
          <t>N.H. Code Admin. R. Ins 1001.01, 1001.02; Ins 1002.05</t>
        </is>
      </c>
      <c r="F30" s="349" t="inlineStr">
        <is>
          <t>https://www.gencourt.state.nh.us/rules/state_agencies/ins1000.html</t>
        </is>
      </c>
      <c r="G30" s="349" t="inlineStr">
        <is>
          <t>P&amp;C rules require acknowledgment within 10 working days and prompt investigation.</t>
        </is>
      </c>
    </row>
    <row r="31" ht="66" customHeight="1" s="355">
      <c r="A31" s="349" t="inlineStr">
        <is>
          <t>New Jersey</t>
        </is>
      </c>
      <c r="B31" s="349" t="inlineStr">
        <is>
          <t>10 working days</t>
        </is>
      </c>
      <c r="C31" s="349" t="inlineStr">
        <is>
          <t>10 working days to commence; 30 days after properly completed proof of loss</t>
        </is>
      </c>
      <c r="D31" s="349" t="inlineStr">
        <is>
          <t>10 working days after settlement agreement</t>
        </is>
      </c>
      <c r="E31" s="349" t="inlineStr">
        <is>
          <t>N.J.A.C. 11:2-17.6(b), (c), (e); 11:2-17.7(a), (c), (e), (f)</t>
        </is>
      </c>
      <c r="F31" s="349" t="inlineStr">
        <is>
          <t>https://advance.lexis.com/container?config=00JAA5OTY5MTdjZi1lMzYxLTQxNTEtOWFkNi0xMmU5ZTViODQ2M2MKAFBvZENhdGFsb2coFSYEAfv22IKqMT9DIHrf; https://www.nj.gov/dca/codes/codreg/admin_codes_statutes.shtml</t>
        </is>
      </c>
      <c r="G31" s="349" t="inlineStr">
        <is>
          <t>Official NJAC access is through the State-licensed LexisNexis public code; row uses provision-level deadlines and official access note.</t>
        </is>
      </c>
    </row>
    <row r="32" ht="66" customHeight="1" s="355">
      <c r="A32" s="349" t="inlineStr">
        <is>
          <t>New Mexico</t>
        </is>
      </c>
      <c r="B32" s="349" t="inlineStr">
        <is>
          <t>Reasonable Time</t>
        </is>
      </c>
      <c r="C32" s="349" t="inlineStr">
        <is>
          <t>Prompt Investigation</t>
        </is>
      </c>
      <c r="D32" s="349" t="inlineStr">
        <is>
          <t>Prompt Payment Required</t>
        </is>
      </c>
      <c r="E32" s="349" t="inlineStr">
        <is>
          <t>NMSA 1978, § 59A-16-20(B)-(F); OSI Bulletin 2025-010</t>
        </is>
      </c>
      <c r="F32" s="349" t="inlineStr">
        <is>
          <t>https://www.osi.state.nm.us/en/news/bulletin-2025-010/</t>
        </is>
      </c>
      <c r="G32" s="349" t="inlineStr">
        <is>
          <t>Verified: New Mexico generally uses reasonable/prompt standards; 2025 OSI bulletin confirms current unfair-claims authority.</t>
        </is>
      </c>
    </row>
    <row r="33" ht="66" customHeight="1" s="355">
      <c r="A33" s="349" t="inlineStr">
        <is>
          <t>New York</t>
        </is>
      </c>
      <c r="B33" s="349" t="inlineStr">
        <is>
          <t>15 business days</t>
        </is>
      </c>
      <c r="C33" s="349" t="inlineStr">
        <is>
          <t>15 business days to begin; 15 business days after proof for decision</t>
        </is>
      </c>
      <c r="D33" s="349" t="inlineStr">
        <is>
          <t>5 business days after agreement / 15 business days undisputed first-party auto</t>
        </is>
      </c>
      <c r="E33" s="349" t="inlineStr">
        <is>
          <t>11 NYCRR §§ 216.4(a)-(b), 216.5(a), 216.6(c), 216.6(e); DFS Circular Letter No. 11 (1991)</t>
        </is>
      </c>
      <c r="F33" s="349" t="inlineStr">
        <is>
          <t>https://govt.westlaw.com/nycrr/Document/I500ddac5cd1711dda432a117e6e0f345; https://www.dfs.ny.gov/industry_guidance/circular_letters/cl1991_11</t>
        </is>
      </c>
      <c r="G33" s="349" t="inlineStr">
        <is>
          <t>Regulation 64 applies to most lines except listed exclusions; DFS circular confirms scope and motor-vehicle-specific provisions.</t>
        </is>
      </c>
    </row>
    <row r="34" ht="66" customHeight="1" s="355">
      <c r="A34" s="349" t="inlineStr">
        <is>
          <t>North Carolina</t>
        </is>
      </c>
      <c r="B34" s="349" t="inlineStr">
        <is>
          <t>Reasonably Promptly</t>
        </is>
      </c>
      <c r="C34" s="349" t="inlineStr">
        <is>
          <t>Prompt Investigation</t>
        </is>
      </c>
      <c r="D34" s="349" t="inlineStr">
        <is>
          <t>10 business days after motor-vehicle claim settlement</t>
        </is>
      </c>
      <c r="E34" s="349" t="inlineStr">
        <is>
          <t>N.C. Gen. Stat. § 58-63-15(11); 11 NCAC 04 .0421</t>
        </is>
      </c>
      <c r="F34" s="349" t="inlineStr">
        <is>
          <t>https://reports.oah.state.nc.us/ncac.asp?folderName=%5CTitle%2011%20-%20Insurance%5CChapter%2004%20-%20Consumer%20Services%20Division</t>
        </is>
      </c>
      <c r="G34" s="349" t="inlineStr">
        <is>
          <t>General unfair-claims law uses prompt/reasonable standards; motor-vehicle payments have a fixed post-settlement deadline.</t>
        </is>
      </c>
    </row>
    <row r="35" ht="66" customHeight="1" s="355">
      <c r="A35" s="349" t="inlineStr">
        <is>
          <t>North Dakota</t>
        </is>
      </c>
      <c r="B35" s="349" t="inlineStr">
        <is>
          <t>Reasonable Time</t>
        </is>
      </c>
      <c r="C35" s="349" t="inlineStr">
        <is>
          <t>Prompt Investigation</t>
        </is>
      </c>
      <c r="D35" s="349" t="inlineStr">
        <is>
          <t>Prompt Payment Required / 15 business days health proof</t>
        </is>
      </c>
      <c r="E35" s="349" t="inlineStr">
        <is>
          <t>N.D.C.C. § 26.1-04-03(9); § 26.1-36-37.1</t>
        </is>
      </c>
      <c r="F35" s="349" t="inlineStr">
        <is>
          <t>https://ndlegis.gov/cencode/t26-1c04.pdf</t>
        </is>
      </c>
      <c r="G35" s="349" t="inlineStr">
        <is>
          <t>Verified: general claim rules use reasonable/prompt standards; health proof-of-loss claims have specific timing.</t>
        </is>
      </c>
    </row>
    <row r="36" ht="66" customHeight="1" s="355">
      <c r="A36" s="349" t="inlineStr">
        <is>
          <t>Ohio</t>
        </is>
      </c>
      <c r="B36" s="349" t="inlineStr">
        <is>
          <t>15 days</t>
        </is>
      </c>
      <c r="C36" s="349" t="inlineStr">
        <is>
          <t>21 days after proof / 45-day updates</t>
        </is>
      </c>
      <c r="D36" s="349" t="inlineStr">
        <is>
          <t>10 days after acceptance</t>
        </is>
      </c>
      <c r="E36" s="349" t="inlineStr">
        <is>
          <t>Ohio Admin. Code 3901-1-54(F), (G), (H)</t>
        </is>
      </c>
      <c r="F36" s="349" t="inlineStr">
        <is>
          <t>https://codes.ohio.gov/ohio-administrative-code/rule-3901-1-54</t>
        </is>
      </c>
      <c r="G36" s="349" t="inlineStr">
        <is>
          <t>P&amp;C insurers must acknowledge within 15 days and act on proof of loss within rule deadlines.</t>
        </is>
      </c>
    </row>
    <row r="37" ht="66" customHeight="1" s="355">
      <c r="A37" s="349" t="inlineStr">
        <is>
          <t>Oklahoma</t>
        </is>
      </c>
      <c r="B37" s="349" t="inlineStr">
        <is>
          <t>30 business days</t>
        </is>
      </c>
      <c r="C37" s="349" t="inlineStr">
        <is>
          <t>45 business days / 45-day updates</t>
        </is>
      </c>
      <c r="D37" s="349" t="inlineStr">
        <is>
          <t>Prompt Payment Required</t>
        </is>
      </c>
      <c r="E37" s="349" t="inlineStr">
        <is>
          <t>Okla. Admin. Code 365:15-3-5 to 365:15-3-8</t>
        </is>
      </c>
      <c r="F37" s="349" t="inlineStr">
        <is>
          <t>https://www.oid.ok.gov/wp-content/uploads/2019/10/18-11-07-C15S3.pdf</t>
        </is>
      </c>
      <c r="G37" s="349" t="inlineStr">
        <is>
          <t>P&amp;C insurers must acknowledge within 30 business days and provide delay updates when unresolved.</t>
        </is>
      </c>
    </row>
    <row r="38" ht="66" customHeight="1" s="355">
      <c r="A38" s="349" t="inlineStr">
        <is>
          <t>Oregon</t>
        </is>
      </c>
      <c r="B38" s="349" t="inlineStr">
        <is>
          <t>30 days</t>
        </is>
      </c>
      <c r="C38" s="349" t="inlineStr">
        <is>
          <t>30 days after proof / 45-day updates</t>
        </is>
      </c>
      <c r="D38" s="349" t="inlineStr">
        <is>
          <t>Prompt Payment Required</t>
        </is>
      </c>
      <c r="E38" s="349" t="inlineStr">
        <is>
          <t>Or. Admin. R. 836-080-0225; 836-080-0235; ORS 746.230</t>
        </is>
      </c>
      <c r="F38" s="349" t="inlineStr">
        <is>
          <t>https://secure.sos.state.or.us/oard/viewSingleRule.action?ruleVrsnRsn=205177</t>
        </is>
      </c>
      <c r="G38" s="349" t="inlineStr">
        <is>
          <t>Oregon requires acknowledgment within 30 days and acceptance/denial within 30 days after proof.</t>
        </is>
      </c>
    </row>
    <row r="39" ht="66" customHeight="1" s="355">
      <c r="A39" s="349" t="inlineStr">
        <is>
          <t>Pennsylvania</t>
        </is>
      </c>
      <c r="B39" s="349" t="inlineStr">
        <is>
          <t>10 working days</t>
        </is>
      </c>
      <c r="C39" s="349" t="inlineStr">
        <is>
          <t>30 days / 45-day updates</t>
        </is>
      </c>
      <c r="D39" s="349" t="inlineStr">
        <is>
          <t>15 working days after proof</t>
        </is>
      </c>
      <c r="E39" s="349" t="inlineStr">
        <is>
          <t>31 Pa. Code §§ 146.5, 146.6, 146.7</t>
        </is>
      </c>
      <c r="F39" s="349" t="inlineStr">
        <is>
          <t>https://www.pacodeandbulletin.gov/secure/pacode/data/031/chapter146/031_0146.pdf</t>
        </is>
      </c>
      <c r="G39" s="349" t="inlineStr">
        <is>
          <t>Pennsylvania sets fixed acknowledgment, investigation, delay-notice, and proof-of-loss decision standards.</t>
        </is>
      </c>
    </row>
    <row r="40" ht="66" customHeight="1" s="355">
      <c r="A40" s="349" t="inlineStr">
        <is>
          <t>Rhode Island</t>
        </is>
      </c>
      <c r="B40" s="349" t="inlineStr">
        <is>
          <t>15 days</t>
        </is>
      </c>
      <c r="C40" s="349" t="inlineStr">
        <is>
          <t>21 days after proof / 45-day updates</t>
        </is>
      </c>
      <c r="D40" s="349" t="inlineStr">
        <is>
          <t>30 days after liability affirmed</t>
        </is>
      </c>
      <c r="E40" s="349" t="inlineStr">
        <is>
          <t>230 RICR 20-40-2.6(A), (D), (F); 230 RICR 20-40-2.7(A), (B), (F)</t>
        </is>
      </c>
      <c r="F40" s="349" t="inlineStr">
        <is>
          <t>https://rules.sos.ri.gov/regulations/part/230-20-40-2</t>
        </is>
      </c>
      <c r="G40" s="349" t="inlineStr">
        <is>
          <t>P&amp;C: acknowledge/respond within 15 days; accept/deny within 21 days after proof; tender undisputed payment within 30 days after liability affirmation.</t>
        </is>
      </c>
    </row>
    <row r="41" ht="66" customHeight="1" s="355">
      <c r="A41" s="349" t="inlineStr">
        <is>
          <t>South Carolina</t>
        </is>
      </c>
      <c r="B41" s="349" t="inlineStr">
        <is>
          <t>Reasonable Promptness</t>
        </is>
      </c>
      <c r="C41" s="349" t="inlineStr">
        <is>
          <t>Prompt Investigation</t>
        </is>
      </c>
      <c r="D41" s="349" t="inlineStr">
        <is>
          <t>90 days if refusal without reasonable cause or bad faith</t>
        </is>
      </c>
      <c r="E41" s="349" t="inlineStr">
        <is>
          <t>S.C. Code Ann. §§ 38-59-20, 38-59-40</t>
        </is>
      </c>
      <c r="F41" s="349" t="inlineStr">
        <is>
          <t>https://www.scstatehouse.gov/code/t38c059.php</t>
        </is>
      </c>
      <c r="G41" s="349" t="inlineStr">
        <is>
          <t>South Carolina uses reasonable/prompt standards; bad-faith refusal to pay has a 90-day statutory trigger.</t>
        </is>
      </c>
    </row>
    <row r="42" ht="66" customHeight="1" s="355">
      <c r="A42" s="349" t="inlineStr">
        <is>
          <t>South Dakota</t>
        </is>
      </c>
      <c r="B42" s="349" t="inlineStr">
        <is>
          <t>30 days</t>
        </is>
      </c>
      <c r="C42" s="349" t="inlineStr">
        <is>
          <t>Prompt Investigation</t>
        </is>
      </c>
      <c r="D42" s="349" t="inlineStr">
        <is>
          <t>Prompt Payment Required</t>
        </is>
      </c>
      <c r="E42" s="349" t="inlineStr">
        <is>
          <t>S.D. Codified Laws §§ 58-33-67, 58-12-34</t>
        </is>
      </c>
      <c r="F42" s="349" t="inlineStr">
        <is>
          <t>https://sdlegislature.gov/Statutes/58-33-67</t>
        </is>
      </c>
      <c r="G42" s="349" t="inlineStr">
        <is>
          <t>Insurers must acknowledge and act within 30 days on claim communications.</t>
        </is>
      </c>
    </row>
    <row r="43" ht="66" customHeight="1" s="355">
      <c r="A43" s="349" t="inlineStr">
        <is>
          <t>Tennessee</t>
        </is>
      </c>
      <c r="B43" s="349" t="inlineStr">
        <is>
          <t>30 days</t>
        </is>
      </c>
      <c r="C43" s="349" t="inlineStr">
        <is>
          <t>60 days after proof / 60-day updates</t>
        </is>
      </c>
      <c r="D43" s="349" t="inlineStr">
        <is>
          <t>30 days after liability affirmed</t>
        </is>
      </c>
      <c r="E43" s="349" t="inlineStr">
        <is>
          <t>Tenn. Comp. R. &amp; Regs. 0780-01-05-.07, -.08; Tenn. Code Ann. § 56-8-105</t>
        </is>
      </c>
      <c r="F43" s="349" t="inlineStr">
        <is>
          <t>https://publications.tnsosfiles.com/rules/0780/0780-01/0780-01-05.20171009.pdf</t>
        </is>
      </c>
      <c r="G43" s="349" t="inlineStr">
        <is>
          <t>Tennessee sets 30-day acknowledgment, 60-day proof-of-loss decision/update, and 30-day payment after liability is affirmed.</t>
        </is>
      </c>
    </row>
    <row r="44" ht="66" customHeight="1" s="355">
      <c r="A44" s="349" t="inlineStr">
        <is>
          <t>Texas</t>
        </is>
      </c>
      <c r="B44" s="349" t="inlineStr">
        <is>
          <t>15 days; 30 days surplus lines</t>
        </is>
      </c>
      <c r="C44" s="349" t="inlineStr">
        <is>
          <t>15 business days after all required items / 45-day extension</t>
        </is>
      </c>
      <c r="D44" s="349" t="inlineStr">
        <is>
          <t>5 business days after notice of payment; surplus lines 20 business days</t>
        </is>
      </c>
      <c r="E44" s="349" t="inlineStr">
        <is>
          <t>Tex. Ins. Code §§ 542.055, 542.056, 542.057</t>
        </is>
      </c>
      <c r="F44" s="349" t="inlineStr">
        <is>
          <t>https://statutes.capitol.texas.gov/Docs/IN/htm/IN.542.htm#542.055</t>
        </is>
      </c>
      <c r="G44" s="349" t="inlineStr">
        <is>
          <t>Prompt Payment of Claims Act sets acknowledgment, acceptance/rejection, extension, and payment trigger deadlines for first-party claims.</t>
        </is>
      </c>
    </row>
    <row r="45" ht="66" customHeight="1" s="355">
      <c r="A45" s="349" t="inlineStr">
        <is>
          <t>Utah</t>
        </is>
      </c>
      <c r="B45" s="349" t="inlineStr">
        <is>
          <t>15 days</t>
        </is>
      </c>
      <c r="C45" s="349" t="inlineStr">
        <is>
          <t>30 days after proof / 45-day updates</t>
        </is>
      </c>
      <c r="D45" s="349" t="inlineStr">
        <is>
          <t>30 days after proof when liability reasonably clear</t>
        </is>
      </c>
      <c r="E45" s="349" t="inlineStr">
        <is>
          <t>Utah Admin. Code R590-190-6; R590-190-9; R590-190-10</t>
        </is>
      </c>
      <c r="F45" s="349" t="inlineStr">
        <is>
          <t>https://adminrules.utah.gov/public/rule/R590-190/Current%20Rules</t>
        </is>
      </c>
      <c r="G45" s="349" t="inlineStr">
        <is>
          <t>Utah P&amp;C rule sets 15-day acknowledgment and 30-day proof-of-loss investigation/payment standards, with 45-day updates if incomplete.</t>
        </is>
      </c>
    </row>
    <row r="46" ht="66" customHeight="1" s="355">
      <c r="A46" s="349" t="inlineStr">
        <is>
          <t>Vermont</t>
        </is>
      </c>
      <c r="B46" s="349" t="inlineStr">
        <is>
          <t>10 working days</t>
        </is>
      </c>
      <c r="C46" s="349" t="inlineStr">
        <is>
          <t>15 working days after proof / 45-day updates</t>
        </is>
      </c>
      <c r="D46" s="349" t="inlineStr">
        <is>
          <t>10 working days after settlement agreement</t>
        </is>
      </c>
      <c r="E46" s="349" t="inlineStr">
        <is>
          <t>Vt. Admin. Code 21-020-008 §§ 5-7; 8 V.S.A. § 4724(9)</t>
        </is>
      </c>
      <c r="F46" s="349" t="inlineStr">
        <is>
          <t>https://legislature.vermont.gov/statutes/section/08/129/04724; https://www.lexisnexis.com/hottopics/codeofvtrules/</t>
        </is>
      </c>
      <c r="G46" s="349" t="inlineStr">
        <is>
          <t>Official statute confirms unfair-claims authority; regulation supplies fixed timing, but official public regulation access is through the Vermont code portal.</t>
        </is>
      </c>
    </row>
    <row r="47" ht="66" customHeight="1" s="355">
      <c r="A47" s="349" t="inlineStr">
        <is>
          <t>Virginia</t>
        </is>
      </c>
      <c r="B47" s="349" t="inlineStr">
        <is>
          <t>15 calendar days</t>
        </is>
      </c>
      <c r="C47" s="349" t="inlineStr">
        <is>
          <t>15 calendar days after proof / 45-day updates</t>
        </is>
      </c>
      <c r="D47" s="349" t="inlineStr">
        <is>
          <t>Prompt Payment Required</t>
        </is>
      </c>
      <c r="E47" s="349" t="inlineStr">
        <is>
          <t>14VAC5-400-50; 14VAC5-400-60; 14VAC5-400-70; Va. Code § 38.2-510(A)(2)-(6)</t>
        </is>
      </c>
      <c r="F47" s="349" t="inlineStr">
        <is>
          <t>https://law.lis.virginia.gov/admincodefull/title14/agency5/chapter400/</t>
        </is>
      </c>
      <c r="G47" s="349" t="inlineStr">
        <is>
          <t>Virginia admin code sets fixed acknowledgment and proof-of-loss decision timing; statute supplies unfair-claim authority.</t>
        </is>
      </c>
    </row>
    <row r="48" ht="66" customHeight="1" s="355">
      <c r="A48" s="349" t="inlineStr">
        <is>
          <t>Washington</t>
        </is>
      </c>
      <c r="B48" s="349" t="inlineStr">
        <is>
          <t>10 working days individual / 15 working days group</t>
        </is>
      </c>
      <c r="C48" s="349" t="inlineStr">
        <is>
          <t>30 days / 45-day then 30-day updates</t>
        </is>
      </c>
      <c r="D48" s="349" t="inlineStr">
        <is>
          <t>15 working days after completed proof acceptance/denial; prompt payment required</t>
        </is>
      </c>
      <c r="E48" s="349" t="inlineStr">
        <is>
          <t>WAC 284-30-360; WAC 284-30-370; WAC 284-30-380</t>
        </is>
      </c>
      <c r="F48" s="349" t="inlineStr">
        <is>
          <t>https://app.leg.wa.gov/WAC/default.aspx?cite=284-30-360</t>
        </is>
      </c>
      <c r="G48" s="349" t="inlineStr">
        <is>
          <t>Washington sets fixed acknowledgment, investigation, proof-of-loss decision, delay-update, and payment standards.</t>
        </is>
      </c>
    </row>
    <row r="49" ht="66" customHeight="1" s="355">
      <c r="A49" s="349" t="inlineStr">
        <is>
          <t>West Virginia</t>
        </is>
      </c>
      <c r="B49" s="349" t="inlineStr">
        <is>
          <t>15 working days</t>
        </is>
      </c>
      <c r="C49" s="349" t="inlineStr">
        <is>
          <t>15 working days to commence; 10 working days after completed investigation</t>
        </is>
      </c>
      <c r="D49" s="349" t="inlineStr">
        <is>
          <t>15 working days after settlement agreement/condition performed</t>
        </is>
      </c>
      <c r="E49" s="349" t="inlineStr">
        <is>
          <t>W. Va. Code R. §§ 114-14-5, 114-14-6</t>
        </is>
      </c>
      <c r="F49" s="349" t="inlineStr">
        <is>
          <t>https://www.wvinsurance.gov/LinkClick.aspx?fileticket=HeCI8XRvGoM%3D&amp;mid=886&amp;portalid=0&amp;tabid=329</t>
        </is>
      </c>
      <c r="G49" s="349" t="inlineStr">
        <is>
          <t>Insurers must acknowledge within 15 working days, commence investigation within 15 working days, and pay settlements within 15 working days.</t>
        </is>
      </c>
    </row>
    <row r="50" ht="66" customHeight="1" s="355">
      <c r="A50" s="349" t="inlineStr">
        <is>
          <t>Wisconsin</t>
        </is>
      </c>
      <c r="B50" s="349" t="inlineStr">
        <is>
          <t>10 days</t>
        </is>
      </c>
      <c r="C50" s="349" t="inlineStr">
        <is>
          <t>Reasonable Time</t>
        </is>
      </c>
      <c r="D50" s="349" t="inlineStr">
        <is>
          <t>30 days after written notice of covered loss and amount</t>
        </is>
      </c>
      <c r="E50" s="349" t="inlineStr">
        <is>
          <t>Wis. Admin. Code Ins § 6.11; Wis. Stat. § 628.46</t>
        </is>
      </c>
      <c r="F50" s="349" t="inlineStr">
        <is>
          <t>https://docs.legis.wisconsin.gov/code/admin_code/ins/6/11</t>
        </is>
      </c>
      <c r="G50" s="349" t="inlineStr">
        <is>
          <t>Wisconsin requires claim acknowledgment within 10 days and payment within 30 days once covered loss and amount are established.</t>
        </is>
      </c>
    </row>
    <row r="51" ht="66" customHeight="1" s="355">
      <c r="A51" s="349" t="inlineStr">
        <is>
          <t>Wyoming</t>
        </is>
      </c>
      <c r="B51" s="349" t="inlineStr">
        <is>
          <t>Reasonably Promptly</t>
        </is>
      </c>
      <c r="C51" s="349" t="inlineStr">
        <is>
          <t>Prompt Investigation</t>
        </is>
      </c>
      <c r="D51" s="349" t="inlineStr">
        <is>
          <t>Prompt Payment Required</t>
        </is>
      </c>
      <c r="E51" s="349" t="inlineStr">
        <is>
          <t>Wyo. Stat. Ann. § 26-13-124(a)(ii)-(vi)</t>
        </is>
      </c>
      <c r="F51" s="349" t="inlineStr">
        <is>
          <t>https://wyoleg.gov/statutes/compress/title26.pdf</t>
        </is>
      </c>
      <c r="G51" s="349" t="inlineStr">
        <is>
          <t>Wyoming uses reasonably prompt/prompt unfair-claims standards rather than fixed general day counts.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18" customWidth="1" style="355" min="2" max="2"/>
    <col width="26" customWidth="1" style="355" min="3" max="3"/>
    <col width="55" customWidth="1" style="355" min="4" max="4"/>
    <col width="55" customWidth="1" style="355" min="5" max="5"/>
  </cols>
  <sheetData>
    <row r="1">
      <c r="A1" s="407" t="inlineStr">
        <is>
          <t>State</t>
        </is>
      </c>
      <c r="B1" s="407" t="inlineStr">
        <is>
          <t>C4 Status</t>
        </is>
      </c>
      <c r="C1" s="407" t="inlineStr">
        <is>
          <t>Authority Type</t>
        </is>
      </c>
      <c r="D1" s="407" t="inlineStr">
        <is>
          <t>Change / Verification</t>
        </is>
      </c>
      <c r="E1" s="407" t="inlineStr">
        <is>
          <t>Primary URL</t>
        </is>
      </c>
    </row>
    <row r="2">
      <c r="A2" s="348" t="inlineStr">
        <is>
          <t>New Mexico</t>
        </is>
      </c>
      <c r="B2" s="348" t="inlineStr">
        <is>
          <t>Verified</t>
        </is>
      </c>
      <c r="C2" s="348" t="inlineStr">
        <is>
          <t>Statute + DOI bulletin</t>
        </is>
      </c>
      <c r="D2" s="348" t="inlineStr">
        <is>
          <t>Confirmed reasonable/prompt standard; retained official OSI bulletin for 2025 update context.</t>
        </is>
      </c>
      <c r="E2" s="348" t="inlineStr">
        <is>
          <t>https://www.osi.state.nm.us/en/news/bulletin-2025-010/</t>
        </is>
      </c>
    </row>
    <row r="3">
      <c r="A3" s="348" t="inlineStr">
        <is>
          <t>North Dakota</t>
        </is>
      </c>
      <c r="B3" s="348" t="inlineStr">
        <is>
          <t>Verified</t>
        </is>
      </c>
      <c r="C3" s="348" t="inlineStr">
        <is>
          <t>Statute</t>
        </is>
      </c>
      <c r="D3" s="348" t="inlineStr">
        <is>
          <t>Confirmed no fixed general day counts; uses reasonable promptness, prompt investigation, reasonable coverage decision.</t>
        </is>
      </c>
      <c r="E3" s="348" t="inlineStr">
        <is>
          <t>https://ndlegis.gov/cencode/t26-1c04.pdf</t>
        </is>
      </c>
    </row>
    <row r="4">
      <c r="A4" s="348" t="inlineStr">
        <is>
          <t>Rhode Island</t>
        </is>
      </c>
      <c r="B4" s="348" t="inlineStr">
        <is>
          <t>Updated</t>
        </is>
      </c>
      <c r="C4" s="348" t="inlineStr">
        <is>
          <t>Administrative regulation</t>
        </is>
      </c>
      <c r="D4" s="348" t="inlineStr">
        <is>
          <t>Corrected from 30-day acknowledgment to 15-day acknowledgment; added 21-day proof-of-loss decision and 30-day payment after liability affirmation.</t>
        </is>
      </c>
      <c r="E4" s="348" t="inlineStr">
        <is>
          <t>https://rules.sos.ri.gov/regulations/part/230-20-40-2</t>
        </is>
      </c>
    </row>
    <row r="5">
      <c r="A5" s="348" t="inlineStr">
        <is>
          <t>Texas</t>
        </is>
      </c>
      <c r="B5" s="348" t="inlineStr">
        <is>
          <t>Updated</t>
        </is>
      </c>
      <c r="C5" s="348" t="inlineStr">
        <is>
          <t>Statute</t>
        </is>
      </c>
      <c r="D5" s="348" t="inlineStr">
        <is>
          <t>Corrected acknowledgment from 15 business days to 15 days; retained 15-business-day decision and 5-business-day payment standards.</t>
        </is>
      </c>
      <c r="E5" s="348" t="inlineStr">
        <is>
          <t>https://statutes.capitol.texas.gov/Docs/IN/htm/IN.542.htm#542.055</t>
        </is>
      </c>
    </row>
    <row r="6">
      <c r="A6" s="348" t="inlineStr">
        <is>
          <t>Utah</t>
        </is>
      </c>
      <c r="B6" s="348" t="inlineStr">
        <is>
          <t>Hardened</t>
        </is>
      </c>
      <c r="C6" s="348" t="inlineStr">
        <is>
          <t>Administrative rule</t>
        </is>
      </c>
      <c r="D6" s="348" t="inlineStr">
        <is>
          <t>Confirmed R590-190 timing; updated citation to include R590-190-10 and official Utah rules RTF source.</t>
        </is>
      </c>
      <c r="E6" s="348" t="inlineStr">
        <is>
          <t>https://rules.utah.gov/publicat/code_rtf/r590-190.rtf</t>
        </is>
      </c>
    </row>
    <row r="7">
      <c r="A7" s="348" t="inlineStr">
        <is>
          <t>Vermont</t>
        </is>
      </c>
      <c r="B7" s="348" t="inlineStr">
        <is>
          <t>Hardened</t>
        </is>
      </c>
      <c r="C7" s="348" t="inlineStr">
        <is>
          <t>Statute + administrative regulation</t>
        </is>
      </c>
      <c r="D7" s="348" t="inlineStr">
        <is>
          <t>Replaced FindLaw URL with official Vermont statute URL; retained fixed regulatory deadlines in citation/notes.</t>
        </is>
      </c>
      <c r="E7" s="348" t="inlineStr">
        <is>
          <t>https://legislature.vermont.gov/statutes/section/08/129/04724</t>
        </is>
      </c>
    </row>
    <row r="8">
      <c r="A8" s="348" t="inlineStr">
        <is>
          <t>Virginia</t>
        </is>
      </c>
      <c r="B8" s="348" t="inlineStr">
        <is>
          <t>Updated</t>
        </is>
      </c>
      <c r="C8" s="348" t="inlineStr">
        <is>
          <t>Administrative regulation + statute</t>
        </is>
      </c>
      <c r="D8" s="348" t="inlineStr">
        <is>
          <t>Upgraded from prompt/reasonable-only statute to fixed 14VAC5-400 deadline framework.</t>
        </is>
      </c>
      <c r="E8" s="348" t="inlineStr">
        <is>
          <t>https://law.lis.virginia.gov/admincodefull/title14/agency5/chapter400/</t>
        </is>
      </c>
    </row>
    <row r="9">
      <c r="A9" s="348" t="inlineStr">
        <is>
          <t>Washington</t>
        </is>
      </c>
      <c r="B9" s="348" t="inlineStr">
        <is>
          <t>Verified</t>
        </is>
      </c>
      <c r="C9" s="348" t="inlineStr">
        <is>
          <t>Administrative regulation</t>
        </is>
      </c>
      <c r="D9" s="348" t="inlineStr">
        <is>
          <t>Confirmed WAC 284-30-360, -370, and -380 deadline structure.</t>
        </is>
      </c>
      <c r="E9" s="348" t="inlineStr">
        <is>
          <t>https://app.leg.wa.gov/WAC/default.aspx?cite=284-30-360</t>
        </is>
      </c>
    </row>
    <row r="10">
      <c r="A10" s="348" t="inlineStr">
        <is>
          <t>West Virginia</t>
        </is>
      </c>
      <c r="B10" s="348" t="inlineStr">
        <is>
          <t>Hardened</t>
        </is>
      </c>
      <c r="C10" s="348" t="inlineStr">
        <is>
          <t>Administrative regulation / DOI checklist</t>
        </is>
      </c>
      <c r="D10" s="348" t="inlineStr">
        <is>
          <t>Added 15-working-day payment after settlement agreement/condition performed from W. Va. rule checklist.</t>
        </is>
      </c>
      <c r="E10" s="348" t="inlineStr">
        <is>
          <t>https://www.wvinsurance.gov/Portals/4/pdf/Casualty.pdf</t>
        </is>
      </c>
    </row>
    <row r="11">
      <c r="A11" s="348" t="inlineStr">
        <is>
          <t>Wisconsin</t>
        </is>
      </c>
      <c r="B11" s="348" t="inlineStr">
        <is>
          <t>Verified</t>
        </is>
      </c>
      <c r="C11" s="348" t="inlineStr">
        <is>
          <t>Administrative code + statute</t>
        </is>
      </c>
      <c r="D11" s="348" t="inlineStr">
        <is>
          <t>Confirmed 10-day acknowledgment and 30-day payment after covered loss/amount notice.</t>
        </is>
      </c>
      <c r="E11" s="348" t="inlineStr">
        <is>
          <t>https://docs.legis.wisconsin.gov/code/admin_code/ins/6/11</t>
        </is>
      </c>
    </row>
    <row r="12">
      <c r="A12" s="348" t="inlineStr">
        <is>
          <t>Wyoming</t>
        </is>
      </c>
      <c r="B12" s="348" t="inlineStr">
        <is>
          <t>Verified</t>
        </is>
      </c>
      <c r="C12" s="348" t="inlineStr">
        <is>
          <t>Statute</t>
        </is>
      </c>
      <c r="D12" s="348" t="inlineStr">
        <is>
          <t>Confirmed reasonable/prompt standards, no fixed general day counts.</t>
        </is>
      </c>
      <c r="E12" s="348" t="inlineStr">
        <is>
          <t>https://wyoleg.gov/statutes/compress/title26.pdf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16" customWidth="1" style="355" min="2" max="2"/>
    <col width="14" customWidth="1" style="355" min="3" max="3"/>
    <col width="14" customWidth="1" style="355" min="4" max="4"/>
    <col width="14" customWidth="1" style="355" min="5" max="5"/>
    <col width="14" customWidth="1" style="355" min="6" max="6"/>
    <col width="42" customWidth="1" style="355" min="7" max="7"/>
    <col width="42" customWidth="1" style="355" min="8" max="8"/>
  </cols>
  <sheetData>
    <row r="1">
      <c r="A1" s="413" t="inlineStr">
        <is>
          <t>State</t>
        </is>
      </c>
      <c r="B1" s="413" t="inlineStr">
        <is>
          <t>Audit Status</t>
        </is>
      </c>
      <c r="C1" s="413" t="inlineStr">
        <is>
          <t>Citation Verified</t>
        </is>
      </c>
      <c r="D1" s="413" t="inlineStr">
        <is>
          <t>URL Verified</t>
        </is>
      </c>
      <c r="E1" s="413" t="inlineStr">
        <is>
          <t>Trigger Verified</t>
        </is>
      </c>
      <c r="F1" s="413" t="inlineStr">
        <is>
          <t>Applicability Verified</t>
        </is>
      </c>
      <c r="G1" s="413" t="inlineStr">
        <is>
          <t>C5 Finding</t>
        </is>
      </c>
      <c r="H1" s="413" t="inlineStr">
        <is>
          <t>Next Action</t>
        </is>
      </c>
    </row>
    <row r="2">
      <c r="A2" s="348" t="inlineStr">
        <is>
          <t>Alabama</t>
        </is>
      </c>
      <c r="B2" s="348" t="inlineStr">
        <is>
          <t>Pass</t>
        </is>
      </c>
      <c r="C2" s="348" t="inlineStr">
        <is>
          <t>Yes</t>
        </is>
      </c>
      <c r="D2" s="348" t="inlineStr">
        <is>
          <t>Yes</t>
        </is>
      </c>
      <c r="E2" s="348" t="inlineStr">
        <is>
          <t>Yes</t>
        </is>
      </c>
      <c r="F2" s="348" t="inlineStr">
        <is>
          <t>Yes</t>
        </is>
      </c>
      <c r="G2" s="348" t="inlineStr">
        <is>
          <t>Row passes C5 facial audit based on current provision-level citation, deadline trigger, and public authority URL.</t>
        </is>
      </c>
      <c r="H2" s="348" t="inlineStr">
        <is>
          <t>No immediate change</t>
        </is>
      </c>
    </row>
    <row r="3">
      <c r="A3" s="348" t="inlineStr">
        <is>
          <t>Alaska</t>
        </is>
      </c>
      <c r="B3" s="348" t="inlineStr">
        <is>
          <t>Pass</t>
        </is>
      </c>
      <c r="C3" s="348" t="inlineStr">
        <is>
          <t>Yes</t>
        </is>
      </c>
      <c r="D3" s="348" t="inlineStr">
        <is>
          <t>Yes</t>
        </is>
      </c>
      <c r="E3" s="348" t="inlineStr">
        <is>
          <t>Yes</t>
        </is>
      </c>
      <c r="F3" s="348" t="inlineStr">
        <is>
          <t>Yes</t>
        </is>
      </c>
      <c r="G3" s="348" t="inlineStr">
        <is>
          <t>Row passes C5 facial audit based on current provision-level citation, deadline trigger, and public authority URL.</t>
        </is>
      </c>
      <c r="H3" s="348" t="inlineStr">
        <is>
          <t>No immediate change</t>
        </is>
      </c>
    </row>
    <row r="4">
      <c r="A4" s="348" t="inlineStr">
        <is>
          <t>Arizona</t>
        </is>
      </c>
      <c r="B4" s="348" t="inlineStr">
        <is>
          <t>Pass</t>
        </is>
      </c>
      <c r="C4" s="348" t="inlineStr">
        <is>
          <t>Yes</t>
        </is>
      </c>
      <c r="D4" s="348" t="inlineStr">
        <is>
          <t>Yes</t>
        </is>
      </c>
      <c r="E4" s="348" t="inlineStr">
        <is>
          <t>Yes</t>
        </is>
      </c>
      <c r="F4" s="348" t="inlineStr">
        <is>
          <t>Yes</t>
        </is>
      </c>
      <c r="G4" s="348" t="inlineStr">
        <is>
          <t>Row passes C5 facial audit based on current provision-level citation, deadline trigger, and public authority URL.</t>
        </is>
      </c>
      <c r="H4" s="348" t="inlineStr">
        <is>
          <t>No immediate change</t>
        </is>
      </c>
    </row>
    <row r="5">
      <c r="A5" s="348" t="inlineStr">
        <is>
          <t>Arkansas</t>
        </is>
      </c>
      <c r="B5" s="348" t="inlineStr">
        <is>
          <t>Pass</t>
        </is>
      </c>
      <c r="C5" s="348" t="inlineStr">
        <is>
          <t>Yes</t>
        </is>
      </c>
      <c r="D5" s="348" t="inlineStr">
        <is>
          <t>Yes</t>
        </is>
      </c>
      <c r="E5" s="348" t="inlineStr">
        <is>
          <t>Yes</t>
        </is>
      </c>
      <c r="F5" s="348" t="inlineStr">
        <is>
          <t>Yes</t>
        </is>
      </c>
      <c r="G5" s="348" t="inlineStr">
        <is>
          <t>Row passes C5 facial audit based on current provision-level citation, deadline trigger, and public authority URL.</t>
        </is>
      </c>
      <c r="H5" s="348" t="inlineStr">
        <is>
          <t>No immediate change</t>
        </is>
      </c>
    </row>
    <row r="6">
      <c r="A6" s="348" t="inlineStr">
        <is>
          <t>California</t>
        </is>
      </c>
      <c r="B6" s="348" t="inlineStr">
        <is>
          <t>Pass</t>
        </is>
      </c>
      <c r="C6" s="348" t="inlineStr">
        <is>
          <t>Yes</t>
        </is>
      </c>
      <c r="D6" s="348" t="inlineStr">
        <is>
          <t>Yes</t>
        </is>
      </c>
      <c r="E6" s="348" t="inlineStr">
        <is>
          <t>Yes</t>
        </is>
      </c>
      <c r="F6" s="348" t="inlineStr">
        <is>
          <t>Yes</t>
        </is>
      </c>
      <c r="G6" s="348" t="inlineStr">
        <is>
          <t>Row passes C5 facial audit based on current provision-level citation, deadline trigger, and public authority URL.</t>
        </is>
      </c>
      <c r="H6" s="348" t="inlineStr">
        <is>
          <t>No immediate change</t>
        </is>
      </c>
    </row>
    <row r="7">
      <c r="A7" s="348" t="inlineStr">
        <is>
          <t>Colorado</t>
        </is>
      </c>
      <c r="B7" s="348" t="inlineStr">
        <is>
          <t>Pass</t>
        </is>
      </c>
      <c r="C7" s="348" t="inlineStr">
        <is>
          <t>Yes</t>
        </is>
      </c>
      <c r="D7" s="348" t="inlineStr">
        <is>
          <t>Yes</t>
        </is>
      </c>
      <c r="E7" s="348" t="inlineStr">
        <is>
          <t>Yes</t>
        </is>
      </c>
      <c r="F7" s="348" t="inlineStr">
        <is>
          <t>Yes</t>
        </is>
      </c>
      <c r="G7" s="348" t="inlineStr">
        <is>
          <t>Row passes C5 facial audit based on current provision-level citation, deadline trigger, and public authority URL.</t>
        </is>
      </c>
      <c r="H7" s="348" t="inlineStr">
        <is>
          <t>No immediate change</t>
        </is>
      </c>
    </row>
    <row r="8">
      <c r="A8" s="348" t="inlineStr">
        <is>
          <t>Connecticut</t>
        </is>
      </c>
      <c r="B8" s="348" t="inlineStr">
        <is>
          <t>Pass</t>
        </is>
      </c>
      <c r="C8" s="348" t="inlineStr">
        <is>
          <t>Yes</t>
        </is>
      </c>
      <c r="D8" s="348" t="inlineStr">
        <is>
          <t>Yes</t>
        </is>
      </c>
      <c r="E8" s="348" t="inlineStr">
        <is>
          <t>Yes</t>
        </is>
      </c>
      <c r="F8" s="348" t="inlineStr">
        <is>
          <t>Yes</t>
        </is>
      </c>
      <c r="G8" s="348" t="inlineStr">
        <is>
          <t>Row passes C5 facial audit based on current provision-level citation, deadline trigger, and public authority URL.</t>
        </is>
      </c>
      <c r="H8" s="348" t="inlineStr">
        <is>
          <t>No immediate change</t>
        </is>
      </c>
    </row>
    <row r="9">
      <c r="A9" s="348" t="inlineStr">
        <is>
          <t>Delaware</t>
        </is>
      </c>
      <c r="B9" s="348" t="inlineStr">
        <is>
          <t>Pass</t>
        </is>
      </c>
      <c r="C9" s="348" t="inlineStr">
        <is>
          <t>Yes</t>
        </is>
      </c>
      <c r="D9" s="348" t="inlineStr">
        <is>
          <t>Yes</t>
        </is>
      </c>
      <c r="E9" s="348" t="inlineStr">
        <is>
          <t>Yes</t>
        </is>
      </c>
      <c r="F9" s="348" t="inlineStr">
        <is>
          <t>Yes</t>
        </is>
      </c>
      <c r="G9" s="348" t="inlineStr">
        <is>
          <t>Row passes C5 facial audit based on current provision-level citation, deadline trigger, and public authority URL.</t>
        </is>
      </c>
      <c r="H9" s="348" t="inlineStr">
        <is>
          <t>No immediate change</t>
        </is>
      </c>
    </row>
    <row r="10">
      <c r="A10" s="348" t="inlineStr">
        <is>
          <t>Florida</t>
        </is>
      </c>
      <c r="B10" s="348" t="inlineStr">
        <is>
          <t>Pass</t>
        </is>
      </c>
      <c r="C10" s="348" t="inlineStr">
        <is>
          <t>Yes</t>
        </is>
      </c>
      <c r="D10" s="348" t="inlineStr">
        <is>
          <t>Yes</t>
        </is>
      </c>
      <c r="E10" s="348" t="inlineStr">
        <is>
          <t>Yes</t>
        </is>
      </c>
      <c r="F10" s="348" t="inlineStr">
        <is>
          <t>Yes</t>
        </is>
      </c>
      <c r="G10" s="348" t="inlineStr">
        <is>
          <t>Row passes C5 facial audit based on current provision-level citation, deadline trigger, and public authority URL.</t>
        </is>
      </c>
      <c r="H10" s="348" t="inlineStr">
        <is>
          <t>No immediate change</t>
        </is>
      </c>
    </row>
    <row r="11">
      <c r="A11" s="348" t="inlineStr">
        <is>
          <t>Georgia</t>
        </is>
      </c>
      <c r="B11" s="348" t="inlineStr">
        <is>
          <t>Pass</t>
        </is>
      </c>
      <c r="C11" s="348" t="inlineStr">
        <is>
          <t>Yes</t>
        </is>
      </c>
      <c r="D11" s="348" t="inlineStr">
        <is>
          <t>Yes</t>
        </is>
      </c>
      <c r="E11" s="348" t="inlineStr">
        <is>
          <t>Yes</t>
        </is>
      </c>
      <c r="F11" s="348" t="inlineStr">
        <is>
          <t>Yes</t>
        </is>
      </c>
      <c r="G11" s="348" t="inlineStr">
        <is>
          <t>Row passes C5 facial audit based on current provision-level citation, deadline trigger, and public authority URL.</t>
        </is>
      </c>
      <c r="H11" s="348" t="inlineStr">
        <is>
          <t>No immediate change</t>
        </is>
      </c>
    </row>
    <row r="12">
      <c r="A12" s="348" t="inlineStr">
        <is>
          <t>Hawaii</t>
        </is>
      </c>
      <c r="B12" s="348" t="inlineStr">
        <is>
          <t>Pass</t>
        </is>
      </c>
      <c r="C12" s="348" t="inlineStr">
        <is>
          <t>Yes</t>
        </is>
      </c>
      <c r="D12" s="348" t="inlineStr">
        <is>
          <t>Yes</t>
        </is>
      </c>
      <c r="E12" s="348" t="inlineStr">
        <is>
          <t>Yes</t>
        </is>
      </c>
      <c r="F12" s="348" t="inlineStr">
        <is>
          <t>Yes</t>
        </is>
      </c>
      <c r="G12" s="348" t="inlineStr">
        <is>
          <t>Row passes C5 facial audit based on current provision-level citation, deadline trigger, and public authority URL.</t>
        </is>
      </c>
      <c r="H12" s="348" t="inlineStr">
        <is>
          <t>No immediate change</t>
        </is>
      </c>
    </row>
    <row r="13">
      <c r="A13" s="348" t="inlineStr">
        <is>
          <t>Idaho</t>
        </is>
      </c>
      <c r="B13" s="348" t="inlineStr">
        <is>
          <t>Pass</t>
        </is>
      </c>
      <c r="C13" s="348" t="inlineStr">
        <is>
          <t>Yes</t>
        </is>
      </c>
      <c r="D13" s="348" t="inlineStr">
        <is>
          <t>Yes</t>
        </is>
      </c>
      <c r="E13" s="348" t="inlineStr">
        <is>
          <t>Yes</t>
        </is>
      </c>
      <c r="F13" s="348" t="inlineStr">
        <is>
          <t>Yes</t>
        </is>
      </c>
      <c r="G13" s="348" t="inlineStr">
        <is>
          <t>C6 resolved: no broad fixed auto/P&amp;C day counts; row now uses prompt/reasonable standards from Idaho Code § 41-1329.</t>
        </is>
      </c>
      <c r="H13" s="348" t="inlineStr">
        <is>
          <t>No immediate change</t>
        </is>
      </c>
    </row>
    <row r="14">
      <c r="A14" s="348" t="inlineStr">
        <is>
          <t>Illinois</t>
        </is>
      </c>
      <c r="B14" s="348" t="inlineStr">
        <is>
          <t>Pass</t>
        </is>
      </c>
      <c r="C14" s="348" t="inlineStr">
        <is>
          <t>Yes</t>
        </is>
      </c>
      <c r="D14" s="348" t="inlineStr">
        <is>
          <t>Yes</t>
        </is>
      </c>
      <c r="E14" s="348" t="inlineStr">
        <is>
          <t>Yes</t>
        </is>
      </c>
      <c r="F14" s="348" t="inlineStr">
        <is>
          <t>Yes</t>
        </is>
      </c>
      <c r="G14" s="348" t="inlineStr">
        <is>
          <t>Row passes C5 facial audit based on current provision-level citation, deadline trigger, and public authority URL.</t>
        </is>
      </c>
      <c r="H14" s="348" t="inlineStr">
        <is>
          <t>No immediate change</t>
        </is>
      </c>
    </row>
    <row r="15">
      <c r="A15" s="348" t="inlineStr">
        <is>
          <t>Indiana</t>
        </is>
      </c>
      <c r="B15" s="348" t="inlineStr">
        <is>
          <t>Pass</t>
        </is>
      </c>
      <c r="C15" s="348" t="inlineStr">
        <is>
          <t>Yes</t>
        </is>
      </c>
      <c r="D15" s="348" t="inlineStr">
        <is>
          <t>Yes</t>
        </is>
      </c>
      <c r="E15" s="348" t="inlineStr">
        <is>
          <t>Yes</t>
        </is>
      </c>
      <c r="F15" s="348" t="inlineStr">
        <is>
          <t>Yes</t>
        </is>
      </c>
      <c r="G15" s="348" t="inlineStr">
        <is>
          <t>Row passes C5 facial audit based on current provision-level citation, deadline trigger, and public authority URL.</t>
        </is>
      </c>
      <c r="H15" s="348" t="inlineStr">
        <is>
          <t>No immediate change</t>
        </is>
      </c>
    </row>
    <row r="16">
      <c r="A16" s="348" t="inlineStr">
        <is>
          <t>Iowa</t>
        </is>
      </c>
      <c r="B16" s="348" t="inlineStr">
        <is>
          <t>Pass</t>
        </is>
      </c>
      <c r="C16" s="348" t="inlineStr">
        <is>
          <t>Yes</t>
        </is>
      </c>
      <c r="D16" s="348" t="inlineStr">
        <is>
          <t>Yes</t>
        </is>
      </c>
      <c r="E16" s="348" t="inlineStr">
        <is>
          <t>Yes</t>
        </is>
      </c>
      <c r="F16" s="348" t="inlineStr">
        <is>
          <t>Yes</t>
        </is>
      </c>
      <c r="G16" s="348" t="inlineStr">
        <is>
          <t>Row passes C5 facial audit based on current provision-level citation, deadline trigger, and public authority URL.</t>
        </is>
      </c>
      <c r="H16" s="348" t="inlineStr">
        <is>
          <t>No immediate change</t>
        </is>
      </c>
    </row>
    <row r="17">
      <c r="A17" s="348" t="inlineStr">
        <is>
          <t>Kansas</t>
        </is>
      </c>
      <c r="B17" s="348" t="inlineStr">
        <is>
          <t>Pass</t>
        </is>
      </c>
      <c r="C17" s="348" t="inlineStr">
        <is>
          <t>Yes</t>
        </is>
      </c>
      <c r="D17" s="348" t="inlineStr">
        <is>
          <t>Yes</t>
        </is>
      </c>
      <c r="E17" s="348" t="inlineStr">
        <is>
          <t>Yes</t>
        </is>
      </c>
      <c r="F17" s="348" t="inlineStr">
        <is>
          <t>Yes</t>
        </is>
      </c>
      <c r="G17" s="348" t="inlineStr">
        <is>
          <t>C6 resolved: acknowledgment/investigation use general unfair-claims standards; payment trigger is 30 calendar days after agreed amount under K.S.A. 40-2,126.</t>
        </is>
      </c>
      <c r="H17" s="348" t="inlineStr">
        <is>
          <t>No immediate change</t>
        </is>
      </c>
    </row>
    <row r="18">
      <c r="A18" s="348" t="inlineStr">
        <is>
          <t>Kentucky</t>
        </is>
      </c>
      <c r="B18" s="348" t="inlineStr">
        <is>
          <t>Pass</t>
        </is>
      </c>
      <c r="C18" s="348" t="inlineStr">
        <is>
          <t>Yes</t>
        </is>
      </c>
      <c r="D18" s="348" t="inlineStr">
        <is>
          <t>Yes</t>
        </is>
      </c>
      <c r="E18" s="348" t="inlineStr">
        <is>
          <t>Yes</t>
        </is>
      </c>
      <c r="F18" s="348" t="inlineStr">
        <is>
          <t>Yes</t>
        </is>
      </c>
      <c r="G18" s="348" t="inlineStr">
        <is>
          <t>Row passes C5 facial audit based on current provision-level citation, deadline trigger, and public authority URL.</t>
        </is>
      </c>
      <c r="H18" s="348" t="inlineStr">
        <is>
          <t>No immediate change</t>
        </is>
      </c>
    </row>
    <row r="19">
      <c r="A19" s="348" t="inlineStr">
        <is>
          <t>Louisiana</t>
        </is>
      </c>
      <c r="B19" s="348" t="inlineStr">
        <is>
          <t>Pass</t>
        </is>
      </c>
      <c r="C19" s="348" t="inlineStr">
        <is>
          <t>Yes</t>
        </is>
      </c>
      <c r="D19" s="348" t="inlineStr">
        <is>
          <t>Yes</t>
        </is>
      </c>
      <c r="E19" s="348" t="inlineStr">
        <is>
          <t>Yes</t>
        </is>
      </c>
      <c r="F19" s="348" t="inlineStr">
        <is>
          <t>Yes</t>
        </is>
      </c>
      <c r="G19" s="348" t="inlineStr">
        <is>
          <t>Row passes C5 facial audit based on current provision-level citation, deadline trigger, and public authority URL.</t>
        </is>
      </c>
      <c r="H19" s="348" t="inlineStr">
        <is>
          <t>No immediate change</t>
        </is>
      </c>
    </row>
    <row r="20">
      <c r="A20" s="348" t="inlineStr">
        <is>
          <t>Maine</t>
        </is>
      </c>
      <c r="B20" s="348" t="inlineStr">
        <is>
          <t>Pass</t>
        </is>
      </c>
      <c r="C20" s="348" t="inlineStr">
        <is>
          <t>Yes</t>
        </is>
      </c>
      <c r="D20" s="348" t="inlineStr">
        <is>
          <t>Yes</t>
        </is>
      </c>
      <c r="E20" s="348" t="inlineStr">
        <is>
          <t>Yes</t>
        </is>
      </c>
      <c r="F20" s="348" t="inlineStr">
        <is>
          <t>Yes</t>
        </is>
      </c>
      <c r="G20" s="348" t="inlineStr">
        <is>
          <t>Row passes C5 facial audit based on current provision-level citation, deadline trigger, and public authority URL.</t>
        </is>
      </c>
      <c r="H20" s="348" t="inlineStr">
        <is>
          <t>No immediate change</t>
        </is>
      </c>
    </row>
    <row r="21">
      <c r="A21" s="348" t="inlineStr">
        <is>
          <t>Maryland</t>
        </is>
      </c>
      <c r="B21" s="348" t="inlineStr">
        <is>
          <t>Pass</t>
        </is>
      </c>
      <c r="C21" s="348" t="inlineStr">
        <is>
          <t>Yes</t>
        </is>
      </c>
      <c r="D21" s="348" t="inlineStr">
        <is>
          <t>Yes</t>
        </is>
      </c>
      <c r="E21" s="348" t="inlineStr">
        <is>
          <t>Yes</t>
        </is>
      </c>
      <c r="F21" s="348" t="inlineStr">
        <is>
          <t>Yes</t>
        </is>
      </c>
      <c r="G21" s="348" t="inlineStr">
        <is>
          <t>Row passes C5 facial audit based on current provision-level citation, deadline trigger, and public authority URL.</t>
        </is>
      </c>
      <c r="H21" s="348" t="inlineStr">
        <is>
          <t>No immediate change</t>
        </is>
      </c>
    </row>
    <row r="22">
      <c r="A22" s="348" t="inlineStr">
        <is>
          <t>Massachusetts</t>
        </is>
      </c>
      <c r="B22" s="348" t="inlineStr">
        <is>
          <t>Pass</t>
        </is>
      </c>
      <c r="C22" s="348" t="inlineStr">
        <is>
          <t>Yes</t>
        </is>
      </c>
      <c r="D22" s="348" t="inlineStr">
        <is>
          <t>Yes</t>
        </is>
      </c>
      <c r="E22" s="348" t="inlineStr">
        <is>
          <t>Yes</t>
        </is>
      </c>
      <c r="F22" s="348" t="inlineStr">
        <is>
          <t>Yes</t>
        </is>
      </c>
      <c r="G22" s="348" t="inlineStr">
        <is>
          <t>Row passes C5 facial audit based on current provision-level citation, deadline trigger, and public authority URL.</t>
        </is>
      </c>
      <c r="H22" s="348" t="inlineStr">
        <is>
          <t>No immediate change</t>
        </is>
      </c>
    </row>
    <row r="23">
      <c r="A23" s="348" t="inlineStr">
        <is>
          <t>Michigan</t>
        </is>
      </c>
      <c r="B23" s="348" t="inlineStr">
        <is>
          <t>Pass</t>
        </is>
      </c>
      <c r="C23" s="348" t="inlineStr">
        <is>
          <t>Yes</t>
        </is>
      </c>
      <c r="D23" s="348" t="inlineStr">
        <is>
          <t>Yes</t>
        </is>
      </c>
      <c r="E23" s="348" t="inlineStr">
        <is>
          <t>Yes</t>
        </is>
      </c>
      <c r="F23" s="348" t="inlineStr">
        <is>
          <t>Yes</t>
        </is>
      </c>
      <c r="G23" s="348" t="inlineStr">
        <is>
          <t>Row passes C5 facial audit based on current provision-level citation, deadline trigger, and public authority URL.</t>
        </is>
      </c>
      <c r="H23" s="348" t="inlineStr">
        <is>
          <t>No immediate change</t>
        </is>
      </c>
    </row>
    <row r="24">
      <c r="A24" s="348" t="inlineStr">
        <is>
          <t>Minnesota</t>
        </is>
      </c>
      <c r="B24" s="348" t="inlineStr">
        <is>
          <t>Pass</t>
        </is>
      </c>
      <c r="C24" s="348" t="inlineStr">
        <is>
          <t>Yes</t>
        </is>
      </c>
      <c r="D24" s="348" t="inlineStr">
        <is>
          <t>Yes</t>
        </is>
      </c>
      <c r="E24" s="348" t="inlineStr">
        <is>
          <t>Yes</t>
        </is>
      </c>
      <c r="F24" s="348" t="inlineStr">
        <is>
          <t>Yes</t>
        </is>
      </c>
      <c r="G24" s="348" t="inlineStr">
        <is>
          <t>Row passes C5 facial audit based on current provision-level citation, deadline trigger, and public authority URL.</t>
        </is>
      </c>
      <c r="H24" s="348" t="inlineStr">
        <is>
          <t>No immediate change</t>
        </is>
      </c>
    </row>
    <row r="25">
      <c r="A25" s="348" t="inlineStr">
        <is>
          <t>Mississippi</t>
        </is>
      </c>
      <c r="B25" s="348" t="inlineStr">
        <is>
          <t>Pass</t>
        </is>
      </c>
      <c r="C25" s="348" t="inlineStr">
        <is>
          <t>Yes</t>
        </is>
      </c>
      <c r="D25" s="348" t="inlineStr">
        <is>
          <t>Yes</t>
        </is>
      </c>
      <c r="E25" s="348" t="inlineStr">
        <is>
          <t>Yes</t>
        </is>
      </c>
      <c r="F25" s="348" t="inlineStr">
        <is>
          <t>Yes</t>
        </is>
      </c>
      <c r="G25" s="348" t="inlineStr">
        <is>
          <t>C6 resolved as limited-authority row: no broad fixed auto/P&amp;C claim-handling deadline located; health/accident clean-claim timing retained only in notes/citation.</t>
        </is>
      </c>
      <c r="H25" s="348" t="inlineStr">
        <is>
          <t>No immediate change</t>
        </is>
      </c>
    </row>
    <row r="26">
      <c r="A26" s="348" t="inlineStr">
        <is>
          <t>Missouri</t>
        </is>
      </c>
      <c r="B26" s="348" t="inlineStr">
        <is>
          <t>Pass</t>
        </is>
      </c>
      <c r="C26" s="348" t="inlineStr">
        <is>
          <t>Yes</t>
        </is>
      </c>
      <c r="D26" s="348" t="inlineStr">
        <is>
          <t>Yes</t>
        </is>
      </c>
      <c r="E26" s="348" t="inlineStr">
        <is>
          <t>Yes</t>
        </is>
      </c>
      <c r="F26" s="348" t="inlineStr">
        <is>
          <t>Yes</t>
        </is>
      </c>
      <c r="G26" s="348" t="inlineStr">
        <is>
          <t>Row passes C5 facial audit based on current provision-level citation, deadline trigger, and public authority URL.</t>
        </is>
      </c>
      <c r="H26" s="348" t="inlineStr">
        <is>
          <t>No immediate change</t>
        </is>
      </c>
    </row>
    <row r="27">
      <c r="A27" s="348" t="inlineStr">
        <is>
          <t>Montana</t>
        </is>
      </c>
      <c r="B27" s="348" t="inlineStr">
        <is>
          <t>Pass</t>
        </is>
      </c>
      <c r="C27" s="348" t="inlineStr">
        <is>
          <t>Yes</t>
        </is>
      </c>
      <c r="D27" s="348" t="inlineStr">
        <is>
          <t>Yes</t>
        </is>
      </c>
      <c r="E27" s="348" t="inlineStr">
        <is>
          <t>Yes</t>
        </is>
      </c>
      <c r="F27" s="348" t="inlineStr">
        <is>
          <t>Yes</t>
        </is>
      </c>
      <c r="G27" s="348" t="inlineStr">
        <is>
          <t>Row passes C5 facial audit based on current provision-level citation, deadline trigger, and public authority URL.</t>
        </is>
      </c>
      <c r="H27" s="348" t="inlineStr">
        <is>
          <t>No immediate change</t>
        </is>
      </c>
    </row>
    <row r="28">
      <c r="A28" s="348" t="inlineStr">
        <is>
          <t>Nebraska</t>
        </is>
      </c>
      <c r="B28" s="348" t="inlineStr">
        <is>
          <t>Pass</t>
        </is>
      </c>
      <c r="C28" s="348" t="inlineStr">
        <is>
          <t>Yes</t>
        </is>
      </c>
      <c r="D28" s="348" t="inlineStr">
        <is>
          <t>Yes</t>
        </is>
      </c>
      <c r="E28" s="348" t="inlineStr">
        <is>
          <t>Yes</t>
        </is>
      </c>
      <c r="F28" s="348" t="inlineStr">
        <is>
          <t>Yes</t>
        </is>
      </c>
      <c r="G28" s="348" t="inlineStr">
        <is>
          <t>Row passes C5 facial audit based on current provision-level citation, deadline trigger, and public authority URL.</t>
        </is>
      </c>
      <c r="H28" s="348" t="inlineStr">
        <is>
          <t>No immediate change</t>
        </is>
      </c>
    </row>
    <row r="29">
      <c r="A29" s="348" t="inlineStr">
        <is>
          <t>Nevada</t>
        </is>
      </c>
      <c r="B29" s="348" t="inlineStr">
        <is>
          <t>Pass</t>
        </is>
      </c>
      <c r="C29" s="348" t="inlineStr">
        <is>
          <t>Yes</t>
        </is>
      </c>
      <c r="D29" s="348" t="inlineStr">
        <is>
          <t>Yes</t>
        </is>
      </c>
      <c r="E29" s="348" t="inlineStr">
        <is>
          <t>Yes</t>
        </is>
      </c>
      <c r="F29" s="348" t="inlineStr">
        <is>
          <t>Yes</t>
        </is>
      </c>
      <c r="G29" s="348" t="inlineStr">
        <is>
          <t>Row passes C5 facial audit based on current provision-level citation, deadline trigger, and public authority URL.</t>
        </is>
      </c>
      <c r="H29" s="348" t="inlineStr">
        <is>
          <t>No immediate change</t>
        </is>
      </c>
    </row>
    <row r="30">
      <c r="A30" s="348" t="inlineStr">
        <is>
          <t>New Hampshire</t>
        </is>
      </c>
      <c r="B30" s="348" t="inlineStr">
        <is>
          <t>Pass</t>
        </is>
      </c>
      <c r="C30" s="348" t="inlineStr">
        <is>
          <t>Yes</t>
        </is>
      </c>
      <c r="D30" s="348" t="inlineStr">
        <is>
          <t>Yes</t>
        </is>
      </c>
      <c r="E30" s="348" t="inlineStr">
        <is>
          <t>Yes</t>
        </is>
      </c>
      <c r="F30" s="348" t="inlineStr">
        <is>
          <t>Yes</t>
        </is>
      </c>
      <c r="G30" s="348" t="inlineStr">
        <is>
          <t>Row passes C5 facial audit based on current provision-level citation, deadline trigger, and public authority URL.</t>
        </is>
      </c>
      <c r="H30" s="348" t="inlineStr">
        <is>
          <t>No immediate change</t>
        </is>
      </c>
    </row>
    <row r="31">
      <c r="A31" s="348" t="inlineStr">
        <is>
          <t>New Jersey</t>
        </is>
      </c>
      <c r="B31" s="348" t="inlineStr">
        <is>
          <t>Pass</t>
        </is>
      </c>
      <c r="C31" s="348" t="inlineStr">
        <is>
          <t>Yes</t>
        </is>
      </c>
      <c r="D31" s="348" t="inlineStr">
        <is>
          <t>Yes</t>
        </is>
      </c>
      <c r="E31" s="348" t="inlineStr">
        <is>
          <t>Yes</t>
        </is>
      </c>
      <c r="F31" s="348" t="inlineStr">
        <is>
          <t>Yes</t>
        </is>
      </c>
      <c r="G31" s="348" t="inlineStr">
        <is>
          <t>C6 resolved: provision-level NJAC deadlines retained; URL hardened to official State-licensed NJAC public access note.</t>
        </is>
      </c>
      <c r="H31" s="348" t="inlineStr">
        <is>
          <t>No immediate change</t>
        </is>
      </c>
    </row>
    <row r="32">
      <c r="A32" s="348" t="inlineStr">
        <is>
          <t>New Mexico</t>
        </is>
      </c>
      <c r="B32" s="348" t="inlineStr">
        <is>
          <t>Pass</t>
        </is>
      </c>
      <c r="C32" s="348" t="inlineStr">
        <is>
          <t>Yes</t>
        </is>
      </c>
      <c r="D32" s="348" t="inlineStr">
        <is>
          <t>Yes</t>
        </is>
      </c>
      <c r="E32" s="348" t="inlineStr">
        <is>
          <t>Yes</t>
        </is>
      </c>
      <c r="F32" s="348" t="inlineStr">
        <is>
          <t>Yes</t>
        </is>
      </c>
      <c r="G32" s="348" t="inlineStr">
        <is>
          <t>Row passes C5 facial audit based on current provision-level citation, deadline trigger, and public authority URL.</t>
        </is>
      </c>
      <c r="H32" s="348" t="inlineStr">
        <is>
          <t>No immediate change</t>
        </is>
      </c>
    </row>
    <row r="33">
      <c r="A33" s="348" t="inlineStr">
        <is>
          <t>New York</t>
        </is>
      </c>
      <c r="B33" s="348" t="inlineStr">
        <is>
          <t>Pass</t>
        </is>
      </c>
      <c r="C33" s="348" t="inlineStr">
        <is>
          <t>Yes</t>
        </is>
      </c>
      <c r="D33" s="348" t="inlineStr">
        <is>
          <t>Yes</t>
        </is>
      </c>
      <c r="E33" s="348" t="inlineStr">
        <is>
          <t>Yes</t>
        </is>
      </c>
      <c r="F33" s="348" t="inlineStr">
        <is>
          <t>Yes</t>
        </is>
      </c>
      <c r="G33" s="348" t="inlineStr">
        <is>
          <t>C6 resolved: DFS circular confirms Regulation 64 scope; NYCRR URL retained with official DFS scope support.</t>
        </is>
      </c>
      <c r="H33" s="348" t="inlineStr">
        <is>
          <t>No immediate change</t>
        </is>
      </c>
    </row>
    <row r="34">
      <c r="A34" s="348" t="inlineStr">
        <is>
          <t>North Carolina</t>
        </is>
      </c>
      <c r="B34" s="348" t="inlineStr">
        <is>
          <t>Pass</t>
        </is>
      </c>
      <c r="C34" s="348" t="inlineStr">
        <is>
          <t>Yes</t>
        </is>
      </c>
      <c r="D34" s="348" t="inlineStr">
        <is>
          <t>Yes</t>
        </is>
      </c>
      <c r="E34" s="348" t="inlineStr">
        <is>
          <t>Yes</t>
        </is>
      </c>
      <c r="F34" s="348" t="inlineStr">
        <is>
          <t>Yes</t>
        </is>
      </c>
      <c r="G34" s="348" t="inlineStr">
        <is>
          <t>Row passes C5 facial audit based on current provision-level citation, deadline trigger, and public authority URL.</t>
        </is>
      </c>
      <c r="H34" s="348" t="inlineStr">
        <is>
          <t>No immediate change</t>
        </is>
      </c>
    </row>
    <row r="35">
      <c r="A35" s="348" t="inlineStr">
        <is>
          <t>North Dakota</t>
        </is>
      </c>
      <c r="B35" s="348" t="inlineStr">
        <is>
          <t>Pass</t>
        </is>
      </c>
      <c r="C35" s="348" t="inlineStr">
        <is>
          <t>Yes</t>
        </is>
      </c>
      <c r="D35" s="348" t="inlineStr">
        <is>
          <t>Yes</t>
        </is>
      </c>
      <c r="E35" s="348" t="inlineStr">
        <is>
          <t>Yes</t>
        </is>
      </c>
      <c r="F35" s="348" t="inlineStr">
        <is>
          <t>Yes</t>
        </is>
      </c>
      <c r="G35" s="348" t="inlineStr">
        <is>
          <t>Row passes C5 facial audit based on current provision-level citation, deadline trigger, and public authority URL.</t>
        </is>
      </c>
      <c r="H35" s="348" t="inlineStr">
        <is>
          <t>No immediate change</t>
        </is>
      </c>
    </row>
    <row r="36">
      <c r="A36" s="348" t="inlineStr">
        <is>
          <t>Ohio</t>
        </is>
      </c>
      <c r="B36" s="348" t="inlineStr">
        <is>
          <t>Pass</t>
        </is>
      </c>
      <c r="C36" s="348" t="inlineStr">
        <is>
          <t>Yes</t>
        </is>
      </c>
      <c r="D36" s="348" t="inlineStr">
        <is>
          <t>Yes</t>
        </is>
      </c>
      <c r="E36" s="348" t="inlineStr">
        <is>
          <t>Yes</t>
        </is>
      </c>
      <c r="F36" s="348" t="inlineStr">
        <is>
          <t>Yes</t>
        </is>
      </c>
      <c r="G36" s="348" t="inlineStr">
        <is>
          <t>Row passes C5 facial audit based on current provision-level citation, deadline trigger, and public authority URL.</t>
        </is>
      </c>
      <c r="H36" s="348" t="inlineStr">
        <is>
          <t>No immediate change</t>
        </is>
      </c>
    </row>
    <row r="37">
      <c r="A37" s="348" t="inlineStr">
        <is>
          <t>Oklahoma</t>
        </is>
      </c>
      <c r="B37" s="348" t="inlineStr">
        <is>
          <t>Pass</t>
        </is>
      </c>
      <c r="C37" s="348" t="inlineStr">
        <is>
          <t>Yes</t>
        </is>
      </c>
      <c r="D37" s="348" t="inlineStr">
        <is>
          <t>Yes</t>
        </is>
      </c>
      <c r="E37" s="348" t="inlineStr">
        <is>
          <t>Yes</t>
        </is>
      </c>
      <c r="F37" s="348" t="inlineStr">
        <is>
          <t>Yes</t>
        </is>
      </c>
      <c r="G37" s="348" t="inlineStr">
        <is>
          <t>Row passes C5 facial audit based on current provision-level citation, deadline trigger, and public authority URL.</t>
        </is>
      </c>
      <c r="H37" s="348" t="inlineStr">
        <is>
          <t>No immediate change</t>
        </is>
      </c>
    </row>
    <row r="38">
      <c r="A38" s="348" t="inlineStr">
        <is>
          <t>Oregon</t>
        </is>
      </c>
      <c r="B38" s="348" t="inlineStr">
        <is>
          <t>Pass</t>
        </is>
      </c>
      <c r="C38" s="348" t="inlineStr">
        <is>
          <t>Yes</t>
        </is>
      </c>
      <c r="D38" s="348" t="inlineStr">
        <is>
          <t>Yes</t>
        </is>
      </c>
      <c r="E38" s="348" t="inlineStr">
        <is>
          <t>Yes</t>
        </is>
      </c>
      <c r="F38" s="348" t="inlineStr">
        <is>
          <t>Yes</t>
        </is>
      </c>
      <c r="G38" s="348" t="inlineStr">
        <is>
          <t>Row passes C5 facial audit based on current provision-level citation, deadline trigger, and public authority URL.</t>
        </is>
      </c>
      <c r="H38" s="348" t="inlineStr">
        <is>
          <t>No immediate change</t>
        </is>
      </c>
    </row>
    <row r="39">
      <c r="A39" s="348" t="inlineStr">
        <is>
          <t>Pennsylvania</t>
        </is>
      </c>
      <c r="B39" s="348" t="inlineStr">
        <is>
          <t>Pass</t>
        </is>
      </c>
      <c r="C39" s="348" t="inlineStr">
        <is>
          <t>Yes</t>
        </is>
      </c>
      <c r="D39" s="348" t="inlineStr">
        <is>
          <t>Yes</t>
        </is>
      </c>
      <c r="E39" s="348" t="inlineStr">
        <is>
          <t>Yes</t>
        </is>
      </c>
      <c r="F39" s="348" t="inlineStr">
        <is>
          <t>Yes</t>
        </is>
      </c>
      <c r="G39" s="348" t="inlineStr">
        <is>
          <t>Row passes C5 facial audit based on current provision-level citation, deadline trigger, and public authority URL.</t>
        </is>
      </c>
      <c r="H39" s="348" t="inlineStr">
        <is>
          <t>No immediate change</t>
        </is>
      </c>
    </row>
    <row r="40">
      <c r="A40" s="348" t="inlineStr">
        <is>
          <t>Rhode Island</t>
        </is>
      </c>
      <c r="B40" s="348" t="inlineStr">
        <is>
          <t>Pass</t>
        </is>
      </c>
      <c r="C40" s="348" t="inlineStr">
        <is>
          <t>Yes</t>
        </is>
      </c>
      <c r="D40" s="348" t="inlineStr">
        <is>
          <t>Yes</t>
        </is>
      </c>
      <c r="E40" s="348" t="inlineStr">
        <is>
          <t>Yes</t>
        </is>
      </c>
      <c r="F40" s="348" t="inlineStr">
        <is>
          <t>Yes</t>
        </is>
      </c>
      <c r="G40" s="348" t="inlineStr">
        <is>
          <t>Row passes C5 facial audit based on current provision-level citation, deadline trigger, and public authority URL.</t>
        </is>
      </c>
      <c r="H40" s="348" t="inlineStr">
        <is>
          <t>No immediate change</t>
        </is>
      </c>
    </row>
    <row r="41">
      <c r="A41" s="348" t="inlineStr">
        <is>
          <t>South Carolina</t>
        </is>
      </c>
      <c r="B41" s="348" t="inlineStr">
        <is>
          <t>Pass</t>
        </is>
      </c>
      <c r="C41" s="348" t="inlineStr">
        <is>
          <t>Yes</t>
        </is>
      </c>
      <c r="D41" s="348" t="inlineStr">
        <is>
          <t>Yes</t>
        </is>
      </c>
      <c r="E41" s="348" t="inlineStr">
        <is>
          <t>Yes</t>
        </is>
      </c>
      <c r="F41" s="348" t="inlineStr">
        <is>
          <t>Yes</t>
        </is>
      </c>
      <c r="G41" s="348" t="inlineStr">
        <is>
          <t>Row passes C5 facial audit based on current provision-level citation, deadline trigger, and public authority URL.</t>
        </is>
      </c>
      <c r="H41" s="348" t="inlineStr">
        <is>
          <t>No immediate change</t>
        </is>
      </c>
    </row>
    <row r="42">
      <c r="A42" s="348" t="inlineStr">
        <is>
          <t>South Dakota</t>
        </is>
      </c>
      <c r="B42" s="348" t="inlineStr">
        <is>
          <t>Pass</t>
        </is>
      </c>
      <c r="C42" s="348" t="inlineStr">
        <is>
          <t>Yes</t>
        </is>
      </c>
      <c r="D42" s="348" t="inlineStr">
        <is>
          <t>Yes</t>
        </is>
      </c>
      <c r="E42" s="348" t="inlineStr">
        <is>
          <t>Yes</t>
        </is>
      </c>
      <c r="F42" s="348" t="inlineStr">
        <is>
          <t>Yes</t>
        </is>
      </c>
      <c r="G42" s="348" t="inlineStr">
        <is>
          <t>Row passes C5 facial audit based on current provision-level citation, deadline trigger, and public authority URL.</t>
        </is>
      </c>
      <c r="H42" s="348" t="inlineStr">
        <is>
          <t>No immediate change</t>
        </is>
      </c>
    </row>
    <row r="43">
      <c r="A43" s="348" t="inlineStr">
        <is>
          <t>Tennessee</t>
        </is>
      </c>
      <c r="B43" s="348" t="inlineStr">
        <is>
          <t>Pass</t>
        </is>
      </c>
      <c r="C43" s="348" t="inlineStr">
        <is>
          <t>Yes</t>
        </is>
      </c>
      <c r="D43" s="348" t="inlineStr">
        <is>
          <t>Yes</t>
        </is>
      </c>
      <c r="E43" s="348" t="inlineStr">
        <is>
          <t>Yes</t>
        </is>
      </c>
      <c r="F43" s="348" t="inlineStr">
        <is>
          <t>Yes</t>
        </is>
      </c>
      <c r="G43" s="348" t="inlineStr">
        <is>
          <t>Row passes C5 facial audit based on current provision-level citation, deadline trigger, and public authority URL.</t>
        </is>
      </c>
      <c r="H43" s="348" t="inlineStr">
        <is>
          <t>No immediate change</t>
        </is>
      </c>
    </row>
    <row r="44">
      <c r="A44" s="348" t="inlineStr">
        <is>
          <t>Texas</t>
        </is>
      </c>
      <c r="B44" s="348" t="inlineStr">
        <is>
          <t>Pass</t>
        </is>
      </c>
      <c r="C44" s="348" t="inlineStr">
        <is>
          <t>Yes</t>
        </is>
      </c>
      <c r="D44" s="348" t="inlineStr">
        <is>
          <t>Yes</t>
        </is>
      </c>
      <c r="E44" s="348" t="inlineStr">
        <is>
          <t>Yes</t>
        </is>
      </c>
      <c r="F44" s="348" t="inlineStr">
        <is>
          <t>Yes</t>
        </is>
      </c>
      <c r="G44" s="348" t="inlineStr">
        <is>
          <t>Row passes C5 facial audit based on current provision-level citation, deadline trigger, and public authority URL.</t>
        </is>
      </c>
      <c r="H44" s="348" t="inlineStr">
        <is>
          <t>No immediate change</t>
        </is>
      </c>
    </row>
    <row r="45">
      <c r="A45" s="348" t="inlineStr">
        <is>
          <t>Utah</t>
        </is>
      </c>
      <c r="B45" s="348" t="inlineStr">
        <is>
          <t>Pass</t>
        </is>
      </c>
      <c r="C45" s="348" t="inlineStr">
        <is>
          <t>Yes</t>
        </is>
      </c>
      <c r="D45" s="348" t="inlineStr">
        <is>
          <t>Yes</t>
        </is>
      </c>
      <c r="E45" s="348" t="inlineStr">
        <is>
          <t>Yes</t>
        </is>
      </c>
      <c r="F45" s="348" t="inlineStr">
        <is>
          <t>Yes</t>
        </is>
      </c>
      <c r="G45" s="348" t="inlineStr">
        <is>
          <t>Row passes C5 facial audit based on current provision-level citation, deadline trigger, and public authority URL.</t>
        </is>
      </c>
      <c r="H45" s="348" t="inlineStr">
        <is>
          <t>No immediate change</t>
        </is>
      </c>
    </row>
    <row r="46">
      <c r="A46" s="348" t="inlineStr">
        <is>
          <t>Vermont</t>
        </is>
      </c>
      <c r="B46" s="348" t="inlineStr">
        <is>
          <t>Pass</t>
        </is>
      </c>
      <c r="C46" s="348" t="inlineStr">
        <is>
          <t>Yes</t>
        </is>
      </c>
      <c r="D46" s="348" t="inlineStr">
        <is>
          <t>Yes</t>
        </is>
      </c>
      <c r="E46" s="348" t="inlineStr">
        <is>
          <t>Yes</t>
        </is>
      </c>
      <c r="F46" s="348" t="inlineStr">
        <is>
          <t>Yes</t>
        </is>
      </c>
      <c r="G46" s="348" t="inlineStr">
        <is>
          <t>C6 resolved: statute URL official; regulation source noted through Vermont code portal/public access.</t>
        </is>
      </c>
      <c r="H46" s="348" t="inlineStr">
        <is>
          <t>No immediate change</t>
        </is>
      </c>
    </row>
    <row r="47">
      <c r="A47" s="348" t="inlineStr">
        <is>
          <t>Virginia</t>
        </is>
      </c>
      <c r="B47" s="348" t="inlineStr">
        <is>
          <t>Pass</t>
        </is>
      </c>
      <c r="C47" s="348" t="inlineStr">
        <is>
          <t>Yes</t>
        </is>
      </c>
      <c r="D47" s="348" t="inlineStr">
        <is>
          <t>Yes</t>
        </is>
      </c>
      <c r="E47" s="348" t="inlineStr">
        <is>
          <t>Yes</t>
        </is>
      </c>
      <c r="F47" s="348" t="inlineStr">
        <is>
          <t>Yes</t>
        </is>
      </c>
      <c r="G47" s="348" t="inlineStr">
        <is>
          <t>Row passes C5 facial audit based on current provision-level citation, deadline trigger, and public authority URL.</t>
        </is>
      </c>
      <c r="H47" s="348" t="inlineStr">
        <is>
          <t>No immediate change</t>
        </is>
      </c>
    </row>
    <row r="48">
      <c r="A48" s="348" t="inlineStr">
        <is>
          <t>Washington</t>
        </is>
      </c>
      <c r="B48" s="348" t="inlineStr">
        <is>
          <t>Pass</t>
        </is>
      </c>
      <c r="C48" s="348" t="inlineStr">
        <is>
          <t>Yes</t>
        </is>
      </c>
      <c r="D48" s="348" t="inlineStr">
        <is>
          <t>Yes</t>
        </is>
      </c>
      <c r="E48" s="348" t="inlineStr">
        <is>
          <t>Yes</t>
        </is>
      </c>
      <c r="F48" s="348" t="inlineStr">
        <is>
          <t>Yes</t>
        </is>
      </c>
      <c r="G48" s="348" t="inlineStr">
        <is>
          <t>Row passes C5 facial audit based on current provision-level citation, deadline trigger, and public authority URL.</t>
        </is>
      </c>
      <c r="H48" s="348" t="inlineStr">
        <is>
          <t>No immediate change</t>
        </is>
      </c>
    </row>
    <row r="49">
      <c r="A49" s="348" t="inlineStr">
        <is>
          <t>West Virginia</t>
        </is>
      </c>
      <c r="B49" s="348" t="inlineStr">
        <is>
          <t>Pass</t>
        </is>
      </c>
      <c r="C49" s="348" t="inlineStr">
        <is>
          <t>Yes</t>
        </is>
      </c>
      <c r="D49" s="348" t="inlineStr">
        <is>
          <t>Yes</t>
        </is>
      </c>
      <c r="E49" s="348" t="inlineStr">
        <is>
          <t>Yes</t>
        </is>
      </c>
      <c r="F49" s="348" t="inlineStr">
        <is>
          <t>Yes</t>
        </is>
      </c>
      <c r="G49" s="348" t="inlineStr">
        <is>
          <t>Row passes C5 facial audit based on current provision-level citation, deadline trigger, and public authority URL.</t>
        </is>
      </c>
      <c r="H49" s="348" t="inlineStr">
        <is>
          <t>No immediate change</t>
        </is>
      </c>
    </row>
    <row r="50">
      <c r="A50" s="348" t="inlineStr">
        <is>
          <t>Wisconsin</t>
        </is>
      </c>
      <c r="B50" s="348" t="inlineStr">
        <is>
          <t>Pass</t>
        </is>
      </c>
      <c r="C50" s="348" t="inlineStr">
        <is>
          <t>Yes</t>
        </is>
      </c>
      <c r="D50" s="348" t="inlineStr">
        <is>
          <t>Yes</t>
        </is>
      </c>
      <c r="E50" s="348" t="inlineStr">
        <is>
          <t>Yes</t>
        </is>
      </c>
      <c r="F50" s="348" t="inlineStr">
        <is>
          <t>Yes</t>
        </is>
      </c>
      <c r="G50" s="348" t="inlineStr">
        <is>
          <t>Row passes C5 facial audit based on current provision-level citation, deadline trigger, and public authority URL.</t>
        </is>
      </c>
      <c r="H50" s="348" t="inlineStr">
        <is>
          <t>No immediate change</t>
        </is>
      </c>
    </row>
    <row r="51">
      <c r="A51" s="348" t="inlineStr">
        <is>
          <t>Wyoming</t>
        </is>
      </c>
      <c r="B51" s="348" t="inlineStr">
        <is>
          <t>Pass</t>
        </is>
      </c>
      <c r="C51" s="348" t="inlineStr">
        <is>
          <t>Yes</t>
        </is>
      </c>
      <c r="D51" s="348" t="inlineStr">
        <is>
          <t>Yes</t>
        </is>
      </c>
      <c r="E51" s="348" t="inlineStr">
        <is>
          <t>Yes</t>
        </is>
      </c>
      <c r="F51" s="348" t="inlineStr">
        <is>
          <t>Yes</t>
        </is>
      </c>
      <c r="G51" s="348" t="inlineStr">
        <is>
          <t>Row passes C5 facial audit based on current provision-level citation, deadline trigger, and public authority URL.</t>
        </is>
      </c>
      <c r="H51" s="348" t="inlineStr">
        <is>
          <t>No immediate change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style="355" min="1" max="1"/>
    <col width="90" customWidth="1" style="355" min="2" max="2"/>
  </cols>
  <sheetData>
    <row r="1">
      <c r="A1" s="411" t="inlineStr">
        <is>
          <t>C5 Courtroom Audit Summary</t>
        </is>
      </c>
      <c r="B1" s="411" t="str"/>
    </row>
    <row r="2">
      <c r="A2" s="348" t="inlineStr">
        <is>
          <t>Workbook</t>
        </is>
      </c>
      <c r="B2" s="348" t="inlineStr">
        <is>
          <t>Claims_Deadlines</t>
        </is>
      </c>
    </row>
    <row r="3">
      <c r="A3" s="348" t="inlineStr">
        <is>
          <t>Audit date</t>
        </is>
      </c>
      <c r="B3" s="348" t="inlineStr">
        <is>
          <t>2026-06-07</t>
        </is>
      </c>
    </row>
    <row r="4">
      <c r="A4" s="348" t="inlineStr">
        <is>
          <t>Total states audited</t>
        </is>
      </c>
      <c r="B4" s="348" t="n">
        <v>50</v>
      </c>
    </row>
    <row r="5">
      <c r="A5" s="348" t="inlineStr">
        <is>
          <t>Pass</t>
        </is>
      </c>
      <c r="B5" s="348" t="n">
        <v>44</v>
      </c>
    </row>
    <row r="6">
      <c r="A6" s="348" t="inlineStr">
        <is>
          <t>Needs Review</t>
        </is>
      </c>
      <c r="B6" s="348" t="n">
        <v>6</v>
      </c>
    </row>
    <row r="7">
      <c r="A7" s="348" t="inlineStr">
        <is>
          <t>Authority Conflict</t>
        </is>
      </c>
      <c r="B7" s="348" t="n">
        <v>0</v>
      </c>
    </row>
    <row r="8">
      <c r="A8" s="348" t="inlineStr">
        <is>
          <t>Structural fix</t>
        </is>
      </c>
      <c r="B8" s="348" t="inlineStr">
        <is>
          <t>Corrected duplicate Wyoming row by restoring Tennessee; final row set contains 50 unique states.</t>
        </is>
      </c>
    </row>
    <row r="9">
      <c r="A9" s="348" t="inlineStr">
        <is>
          <t>Next recommended phase</t>
        </is>
      </c>
      <c r="B9" s="348" t="inlineStr">
        <is>
          <t>C6 Trigger Clarification and remaining source-hardening for Needs Review rows.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.880000114440918" customWidth="1" style="355" min="1" max="1"/>
    <col width="77.12000274658203" customWidth="1" style="355" min="2" max="2"/>
    <col width="110.7699966430664" customWidth="1" style="355" min="3" max="3"/>
    <col width="76.04000091552734" customWidth="1" style="355" min="4" max="4"/>
    <col width="43.47000122070312" customWidth="1" style="355" min="5" max="5"/>
    <col width="4.980000019073486" customWidth="1" style="355" min="6" max="6"/>
  </cols>
  <sheetData>
    <row r="1">
      <c r="A1" s="419" t="inlineStr">
        <is>
          <t>State</t>
        </is>
      </c>
      <c r="B1" s="419" t="inlineStr">
        <is>
          <t>C5 Issue</t>
        </is>
      </c>
      <c r="C1" s="419" t="inlineStr">
        <is>
          <t>C6 Resolution</t>
        </is>
      </c>
      <c r="D1" s="419" t="inlineStr">
        <is>
          <t>Deadline Trigger Clarified</t>
        </is>
      </c>
      <c r="E1" s="419" t="inlineStr">
        <is>
          <t>Authority Basis</t>
        </is>
      </c>
      <c r="F1" s="419" t="inlineStr">
        <is>
          <t>Status</t>
        </is>
      </c>
      <c r="G1" s="419" t="n"/>
      <c r="H1" s="419" t="n"/>
      <c r="I1" s="419" t="n"/>
      <c r="J1" s="419" t="n"/>
      <c r="K1" s="419" t="n"/>
      <c r="L1" s="419" t="n"/>
      <c r="M1" s="419" t="n"/>
      <c r="N1" s="419" t="n"/>
      <c r="O1" s="419" t="n"/>
      <c r="P1" s="419" t="n"/>
      <c r="Q1" s="419" t="n"/>
      <c r="R1" s="419" t="n"/>
      <c r="S1" s="419" t="n"/>
      <c r="T1" s="419" t="n"/>
      <c r="U1" s="419" t="n"/>
      <c r="V1" s="419" t="n"/>
      <c r="W1" s="419" t="n"/>
      <c r="X1" s="419" t="n"/>
      <c r="Y1" s="419" t="n"/>
      <c r="Z1" s="419" t="n"/>
    </row>
    <row r="2">
      <c r="A2" s="338" t="inlineStr">
        <is>
          <t>Idaho</t>
        </is>
      </c>
      <c r="B2" s="338" t="inlineStr">
        <is>
          <t>Line-specific day counts created auto/P&amp;C ambiguity.</t>
        </is>
      </c>
      <c r="C2" s="338" t="inlineStr">
        <is>
          <t>Downgraded to general prompt/reasonable standards; removed fixed line-specific day counts from main fields.</t>
        </is>
      </c>
      <c r="D2" s="338" t="inlineStr">
        <is>
          <t>Communications; investigation standards; completed proof of loss; liability reasonably clear.</t>
        </is>
      </c>
      <c r="E2" s="338" t="inlineStr">
        <is>
          <t>Idaho Code § 41-1329(2)-(6), (14).</t>
        </is>
      </c>
      <c r="F2" s="338" t="inlineStr">
        <is>
          <t>Pass</t>
        </is>
      </c>
    </row>
    <row r="3">
      <c r="A3" s="338" t="inlineStr">
        <is>
          <t>Kansas</t>
        </is>
      </c>
      <c r="B3" s="338" t="inlineStr">
        <is>
          <t>Clean-claim/non-life mix needed P&amp;C applicability hardening.</t>
        </is>
      </c>
      <c r="C3" s="338" t="inlineStr">
        <is>
          <t>Separated general unfair-claims standards from settlement-payment interest statute.</t>
        </is>
      </c>
      <c r="D3" s="338" t="inlineStr">
        <is>
          <t>Claim communication; prompt investigation; completed proof of loss; agreed payment amount.</t>
        </is>
      </c>
      <c r="E3" s="338" t="inlineStr">
        <is>
          <t>K.S.A. 40-2404(9); K.S.A. 40-2,126; K.A.R. 40-1-34.</t>
        </is>
      </c>
      <c r="F3" s="338" t="inlineStr">
        <is>
          <t>Pass</t>
        </is>
      </c>
    </row>
    <row r="4">
      <c r="A4" s="338" t="inlineStr">
        <is>
          <t>Mississippi</t>
        </is>
      </c>
      <c r="B4" s="338" t="inlineStr">
        <is>
          <t>Non-government URL and accident/health-only timing were overbroad for auto/P&amp;C.</t>
        </is>
      </c>
      <c r="C4" s="338" t="inlineStr">
        <is>
          <t>Main deadlines now state no fixed general auto/P&amp;C deadline located; A&amp;H clean-claim deadlines retained only as limited citation context.</t>
        </is>
      </c>
      <c r="D4" s="338" t="inlineStr">
        <is>
          <t>No broad auto/P&amp;C statutory/regulatory trigger located.</t>
        </is>
      </c>
      <c r="E4" s="338" t="inlineStr">
        <is>
          <t>Miss. Code Ann. § 83-9-5; MID A&amp;H requirements.</t>
        </is>
      </c>
      <c r="F4" s="338" t="inlineStr">
        <is>
          <t>Pass</t>
        </is>
      </c>
    </row>
    <row r="5">
      <c r="A5" s="338" t="inlineStr">
        <is>
          <t>New Jersey</t>
        </is>
      </c>
      <c r="B5" s="338" t="inlineStr">
        <is>
          <t>Cornell URL was not preferred for official use.</t>
        </is>
      </c>
      <c r="C5" s="338" t="inlineStr">
        <is>
          <t>Citation retained, URL hardened to State-licensed NJAC public access path and state explanation page.</t>
        </is>
      </c>
      <c r="D5" s="338" t="inlineStr">
        <is>
          <t>Claim notice; properly completed proof of loss; settlement agreement.</t>
        </is>
      </c>
      <c r="E5" s="338" t="inlineStr">
        <is>
          <t>N.J.A.C. 11:2-17.6 and 11:2-17.7.</t>
        </is>
      </c>
      <c r="F5" s="338" t="inlineStr">
        <is>
          <t>Pass</t>
        </is>
      </c>
    </row>
    <row r="6">
      <c r="A6" s="338" t="inlineStr">
        <is>
          <t>New York</t>
        </is>
      </c>
      <c r="B6" s="338" t="inlineStr">
        <is>
          <t>Westlaw NYCRR URL needed official scope support.</t>
        </is>
      </c>
      <c r="C6" s="338" t="inlineStr">
        <is>
          <t>Added DFS Circular Letter No. 11 as official scope authority for Regulation 64.</t>
        </is>
      </c>
      <c r="D6" s="338" t="inlineStr">
        <is>
          <t>Claim notice; proof of loss; settlement agreement; undisputed first-party auto payment.</t>
        </is>
      </c>
      <c r="E6" s="338" t="inlineStr">
        <is>
          <t>11 NYCRR 216.4-.6; DFS Circular Letter No. 11 (1991).</t>
        </is>
      </c>
      <c r="F6" s="338" t="inlineStr">
        <is>
          <t>Pass</t>
        </is>
      </c>
    </row>
    <row r="7">
      <c r="A7" s="338" t="inlineStr">
        <is>
          <t>Vermont</t>
        </is>
      </c>
      <c r="B7" s="338" t="inlineStr">
        <is>
          <t>Official regulation URL was difficult to isolate; statute URL alone did not contain fixed day counts.</t>
        </is>
      </c>
      <c r="C7" s="338" t="inlineStr">
        <is>
          <t>Kept official statute URL and added Vermont code public portal reference; citation remains provision-level.</t>
        </is>
      </c>
      <c r="D7" s="338" t="inlineStr">
        <is>
          <t>Claim notice; proof of loss; settlement agreement.</t>
        </is>
      </c>
      <c r="E7" s="338" t="inlineStr">
        <is>
          <t>Vt. Admin. Code 21-020-008 §§ 5-7; 8 V.S.A. § 4724(9).</t>
        </is>
      </c>
      <c r="F7" s="338" t="inlineStr">
        <is>
          <t>Pass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2.61000061035156" customWidth="1" style="355" min="1" max="1"/>
    <col width="62.58000183105469" customWidth="1" style="355" min="2" max="2"/>
  </cols>
  <sheetData>
    <row r="1">
      <c r="A1" s="419" t="inlineStr">
        <is>
          <t>Metric</t>
        </is>
      </c>
      <c r="B1" s="419" t="inlineStr">
        <is>
          <t>Result</t>
        </is>
      </c>
      <c r="C1" s="419" t="n"/>
      <c r="D1" s="419" t="n"/>
      <c r="E1" s="419" t="n"/>
      <c r="F1" s="419" t="n"/>
      <c r="G1" s="419" t="n"/>
      <c r="H1" s="419" t="n"/>
      <c r="I1" s="419" t="n"/>
      <c r="J1" s="419" t="n"/>
      <c r="K1" s="419" t="n"/>
      <c r="L1" s="419" t="n"/>
      <c r="M1" s="419" t="n"/>
      <c r="N1" s="419" t="n"/>
      <c r="O1" s="419" t="n"/>
      <c r="P1" s="419" t="n"/>
      <c r="Q1" s="419" t="n"/>
      <c r="R1" s="419" t="n"/>
      <c r="S1" s="419" t="n"/>
      <c r="T1" s="419" t="n"/>
      <c r="U1" s="419" t="n"/>
      <c r="V1" s="419" t="n"/>
      <c r="W1" s="419" t="n"/>
      <c r="X1" s="419" t="n"/>
      <c r="Y1" s="419" t="n"/>
      <c r="Z1" s="419" t="n"/>
    </row>
    <row r="2">
      <c r="A2" s="338" t="inlineStr">
        <is>
          <t>Rows reworked in C6</t>
        </is>
      </c>
      <c r="B2" s="338" t="n">
        <v>6</v>
      </c>
    </row>
    <row r="3">
      <c r="A3" s="338" t="inlineStr">
        <is>
          <t>C5 Needs Review remaining</t>
        </is>
      </c>
      <c r="B3" s="338" t="n">
        <v>0</v>
      </c>
    </row>
    <row r="4">
      <c r="A4" s="338" t="inlineStr">
        <is>
          <t>Authority Conflict remaining</t>
        </is>
      </c>
      <c r="B4" s="338" t="n">
        <v>0</v>
      </c>
    </row>
    <row r="5">
      <c r="A5" s="338" t="inlineStr">
        <is>
          <t>Primary change type</t>
        </is>
      </c>
      <c r="B5" s="338" t="inlineStr">
        <is>
          <t>Trigger clarification and source hardening</t>
        </is>
      </c>
    </row>
    <row r="6">
      <c r="A6" s="338" t="inlineStr">
        <is>
          <t>Main risk reduced</t>
        </is>
      </c>
      <c r="B6" s="338" t="inlineStr">
        <is>
          <t>Line-specific deadlines no longer presented as broad auto/P&amp;C fixed deadlines</t>
        </is>
      </c>
    </row>
    <row r="7">
      <c r="A7" s="338" t="inlineStr">
        <is>
          <t>Recommended next phase</t>
        </is>
      </c>
      <c r="B7" s="338" t="inlineStr">
        <is>
          <t>C7 national wording normalization + website import field cleanup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24" customWidth="1" style="355" min="2" max="2"/>
    <col width="24" customWidth="1" style="355" min="3" max="3"/>
    <col width="24" customWidth="1" style="355" min="4" max="4"/>
    <col width="35" customWidth="1" style="355" min="5" max="5"/>
    <col width="38" customWidth="1" style="355" min="6" max="6"/>
    <col width="48" customWidth="1" style="355" min="7" max="7"/>
  </cols>
  <sheetData>
    <row r="1">
      <c r="A1" s="425" t="inlineStr">
        <is>
          <t>State</t>
        </is>
      </c>
      <c r="B1" s="425" t="inlineStr">
        <is>
          <t>Acknowledgment Deadline</t>
        </is>
      </c>
      <c r="C1" s="425" t="inlineStr">
        <is>
          <t>Investigation Deadline</t>
        </is>
      </c>
      <c r="D1" s="425" t="inlineStr">
        <is>
          <t>Payment Deadline</t>
        </is>
      </c>
      <c r="E1" s="425" t="inlineStr">
        <is>
          <t>Citation</t>
        </is>
      </c>
      <c r="F1" s="425" t="inlineStr">
        <is>
          <t>URL</t>
        </is>
      </c>
      <c r="G1" s="425" t="inlineStr">
        <is>
          <t>Notes</t>
        </is>
      </c>
    </row>
    <row r="2">
      <c r="A2" s="348" t="inlineStr">
        <is>
          <t>Alabama</t>
        </is>
      </c>
      <c r="B2" s="348" t="inlineStr">
        <is>
          <t>15 days</t>
        </is>
      </c>
      <c r="C2" s="348" t="inlineStr">
        <is>
          <t>30 days / 45-day updates</t>
        </is>
      </c>
      <c r="D2" s="348" t="inlineStr">
        <is>
          <t>30 days after agreement</t>
        </is>
      </c>
      <c r="E2" s="348" t="inlineStr">
        <is>
          <t>Ala. Admin. Code r. 482-1-125-.01 to .11; r. 482-1-124-.01 to .07</t>
        </is>
      </c>
      <c r="F2" s="348" t="inlineStr">
        <is>
          <t>https://www.alabamaadministrativecode.state.al.us</t>
        </is>
      </c>
      <c r="G2" s="348" t="inlineStr">
        <is>
          <t>P&amp;C: respond within 15 days; status within 30 days; 45-day updates; pay within 30 days after liability agreement.</t>
        </is>
      </c>
    </row>
    <row r="3">
      <c r="A3" s="348" t="inlineStr">
        <is>
          <t>Alaska</t>
        </is>
      </c>
      <c r="B3" s="348" t="inlineStr">
        <is>
          <t>10 working days</t>
        </is>
      </c>
      <c r="C3" s="348" t="inlineStr">
        <is>
          <t>15 working days / 45-day updates</t>
        </is>
      </c>
      <c r="D3" s="348" t="inlineStr">
        <is>
          <t>30 working days</t>
        </is>
      </c>
      <c r="E3" s="348" t="inlineStr">
        <is>
          <t>3 AAC 26.040 to 26.070</t>
        </is>
      </c>
      <c r="F3" s="348" t="inlineStr">
        <is>
          <t>https://www.akleg.gov/basis/aac.asp</t>
        </is>
      </c>
      <c r="G3" s="348" t="inlineStr">
        <is>
          <t>Insurer must acknowledge within 10 working days and accept or deny first-party claims within 15 working days after proof.</t>
        </is>
      </c>
    </row>
    <row r="4">
      <c r="A4" s="348" t="inlineStr">
        <is>
          <t>Arizona</t>
        </is>
      </c>
      <c r="B4" s="348" t="inlineStr">
        <is>
          <t>10 working days</t>
        </is>
      </c>
      <c r="C4" s="348" t="inlineStr">
        <is>
          <t>30 days / 45-day updates</t>
        </is>
      </c>
      <c r="D4" s="348" t="inlineStr">
        <is>
          <t>30 days</t>
        </is>
      </c>
      <c r="E4" s="348" t="inlineStr">
        <is>
          <t>A.R.S. § 20-462; Ariz. Admin. Code R20-6-801</t>
        </is>
      </c>
      <c r="F4" s="348" t="inlineStr">
        <is>
          <t>https://apps.azsos.gov/public_services/Title_20/20-06.pdf</t>
        </is>
      </c>
      <c r="G4" s="348" t="inlineStr">
        <is>
          <t>Investigation should be completed within 30 days unless more time is reasonably needed; delay notices required.</t>
        </is>
      </c>
    </row>
    <row r="5">
      <c r="A5" s="348" t="inlineStr">
        <is>
          <t>Arkansas</t>
        </is>
      </c>
      <c r="B5" s="348" t="inlineStr">
        <is>
          <t>15 working days</t>
        </is>
      </c>
      <c r="C5" s="348" t="inlineStr">
        <is>
          <t>45 days / 45-day updates</t>
        </is>
      </c>
      <c r="D5" s="348" t="inlineStr">
        <is>
          <t>15 working days after acceptance/denial</t>
        </is>
      </c>
      <c r="E5" s="348" t="inlineStr">
        <is>
          <t>Ark. Ins. Rule 43; Ark. Code Ann. § 23-66-215</t>
        </is>
      </c>
      <c r="F5" s="348" t="inlineStr">
        <is>
          <t>https://codeofarrules.arkansas.gov/Rules/Rule?chapterID=39&amp;levelType=section&amp;partID=615&amp;sectionID=27084&amp;subChapterID=187&amp;subPartID=4304&amp;titleID=23</t>
        </is>
      </c>
      <c r="G5" s="348" t="inlineStr">
        <is>
          <t>Insurer must acknowledge within 15 working days and complete investigation within 45 days or explain delay.</t>
        </is>
      </c>
    </row>
    <row r="6">
      <c r="A6" s="348" t="inlineStr">
        <is>
          <t>California</t>
        </is>
      </c>
      <c r="B6" s="348" t="inlineStr">
        <is>
          <t>15 days</t>
        </is>
      </c>
      <c r="C6" s="348" t="inlineStr">
        <is>
          <t>40 days / 30-day updates</t>
        </is>
      </c>
      <c r="D6" s="348" t="inlineStr">
        <is>
          <t>30 days after acceptance</t>
        </is>
      </c>
      <c r="E6" s="348" t="inlineStr">
        <is>
          <t>10 Cal. Code Regs. §§ 2695.1 to 2695.14</t>
        </is>
      </c>
      <c r="F6" s="348" t="inlineStr">
        <is>
          <t>https://www.insurance.ca.gov/01-consumers/130-laws-regs-hearings/05-CCR/fair-claims-regs.cfm</t>
        </is>
      </c>
      <c r="G6" s="348" t="inlineStr">
        <is>
          <t>Insurer must acknowledge communications within 15 days and accept or deny within 40 days after proof of claim.</t>
        </is>
      </c>
    </row>
    <row r="7">
      <c r="A7" s="348" t="inlineStr">
        <is>
          <t>Colorado</t>
        </is>
      </c>
      <c r="B7" s="348" t="inlineStr">
        <is>
          <t>Promptly / 15 days for forms</t>
        </is>
      </c>
      <c r="C7" s="348" t="inlineStr">
        <is>
          <t>90 days / 180 days unusual circumstances</t>
        </is>
      </c>
      <c r="D7" s="348" t="inlineStr">
        <is>
          <t>60 days after valid claim</t>
        </is>
      </c>
      <c r="E7" s="348" t="inlineStr">
        <is>
          <t>Colo. Rev. Stat. § 10-3-1104; 3 CCR 702-5:5-1-14</t>
        </is>
      </c>
      <c r="F7" s="348" t="inlineStr">
        <is>
          <t>https://doi.colorado.gov/for-consumers/file-a-complaint/consumer-resources/laws-regulations-bulletins</t>
        </is>
      </c>
      <c r="G7" s="348" t="inlineStr">
        <is>
          <t>First-party P&amp;C valid claims generally must be paid within 60 days; delay notices continue every 30 days.</t>
        </is>
      </c>
    </row>
    <row r="8">
      <c r="A8" s="348" t="inlineStr">
        <is>
          <t>Connecticut</t>
        </is>
      </c>
      <c r="B8" s="348" t="inlineStr">
        <is>
          <t>Reasonably promptly</t>
        </is>
      </c>
      <c r="C8" s="348" t="inlineStr">
        <is>
          <t>No Fixed Deadline Located</t>
        </is>
      </c>
      <c r="D8" s="348" t="inlineStr">
        <is>
          <t>Prompt Payment Required</t>
        </is>
      </c>
      <c r="E8" s="348" t="inlineStr">
        <is>
          <t>Conn. Gen. Stat. § 38a-816; § 38a-452</t>
        </is>
      </c>
      <c r="F8" s="348" t="inlineStr">
        <is>
          <t>https://www.cga.ct.gov/current/pub/chap_704.htm</t>
        </is>
      </c>
      <c r="G8" s="348" t="inlineStr">
        <is>
          <t>General unfair-claims statute uses prompt/reasonable promptness language rather than fixed P&amp;C day counts.</t>
        </is>
      </c>
    </row>
    <row r="9">
      <c r="A9" s="348" t="inlineStr">
        <is>
          <t>Delaware</t>
        </is>
      </c>
      <c r="B9" s="348" t="inlineStr">
        <is>
          <t>15 working days</t>
        </is>
      </c>
      <c r="C9" s="348" t="inlineStr">
        <is>
          <t>10 working days to begin</t>
        </is>
      </c>
      <c r="D9" s="348" t="inlineStr">
        <is>
          <t>30 days after agreement</t>
        </is>
      </c>
      <c r="E9" s="348" t="inlineStr">
        <is>
          <t>18 Del. Admin. Code 902 and 903</t>
        </is>
      </c>
      <c r="F9" s="348" t="inlineStr">
        <is>
          <t>https://regulations.delaware.gov/AdminCode/title18/900/</t>
        </is>
      </c>
      <c r="G9" s="348" t="inlineStr">
        <is>
          <t>Prompt payment is defined as within 30 days after agreement; investigation must begin within 10 working days.</t>
        </is>
      </c>
    </row>
    <row r="10">
      <c r="A10" s="348" t="inlineStr">
        <is>
          <t>Florida</t>
        </is>
      </c>
      <c r="B10" s="348" t="inlineStr">
        <is>
          <t>14 days / 15 days health non-electronic</t>
        </is>
      </c>
      <c r="C10" s="348" t="inlineStr">
        <is>
          <t>60 days property / 90 days health determination</t>
        </is>
      </c>
      <c r="D10" s="348" t="inlineStr">
        <is>
          <t>20 days after settlement agreement / 60 days property</t>
        </is>
      </c>
      <c r="E10" s="348" t="inlineStr">
        <is>
          <t>Fla. Stat. §§ 626.9541, 627.4265, 627.70131</t>
        </is>
      </c>
      <c r="F10" s="348" t="inlineStr">
        <is>
          <t>https://www.leg.state.fl.us/Statutes/index.cfm?App_mode=Display_Statute&amp;URL=0600-0699/0626/Sections/0626.9541.html</t>
        </is>
      </c>
      <c r="G10" s="348" t="inlineStr">
        <is>
          <t>Property claims generally require acknowledgment and payment/denial within statutory timeframes; settlement payments due within 20 days.</t>
        </is>
      </c>
    </row>
    <row r="11">
      <c r="A11" s="348" t="inlineStr">
        <is>
          <t>Georgia</t>
        </is>
      </c>
      <c r="B11" s="348" t="inlineStr">
        <is>
          <t>15 days</t>
        </is>
      </c>
      <c r="C11" s="348" t="inlineStr">
        <is>
          <t>30 days / 60 days maximum</t>
        </is>
      </c>
      <c r="D11" s="348" t="inlineStr">
        <is>
          <t>10 days after coverage confirmed</t>
        </is>
      </c>
      <c r="E11" s="348" t="inlineStr">
        <is>
          <t>Ga. Comp. R. &amp; Regs. 120-2-52-.01 to .03</t>
        </is>
      </c>
      <c r="F11" s="348" t="inlineStr">
        <is>
          <t>https://rules.sos.ga.gov/gac/120-2-52</t>
        </is>
      </c>
      <c r="G11" s="348" t="inlineStr">
        <is>
          <t>Private passenger auto first-party property claims have specific acknowledgment, coverage, and payment timing rules.</t>
        </is>
      </c>
    </row>
    <row r="12">
      <c r="A12" s="348" t="inlineStr">
        <is>
          <t>Hawaii</t>
        </is>
      </c>
      <c r="B12" s="348" t="inlineStr">
        <is>
          <t>15 working days</t>
        </is>
      </c>
      <c r="C12" s="348" t="inlineStr">
        <is>
          <t>30-day unresolved-delay explanation</t>
        </is>
      </c>
      <c r="D12" s="348" t="inlineStr">
        <is>
          <t>30 days if amount determined and undisputed</t>
        </is>
      </c>
      <c r="E12" s="348" t="inlineStr">
        <is>
          <t>Haw. Rev. Stat. § 431:13-103</t>
        </is>
      </c>
      <c r="F12" s="348" t="inlineStr">
        <is>
          <t>https://www.capitol.hawaii.gov/hrscurrent/Vol09_Ch0431-0435H/HRS0431/HRS_0431-0013-0103.htm</t>
        </is>
      </c>
      <c r="G12" s="348" t="inlineStr">
        <is>
          <t>Claims communications must be handled with reasonable promptness, generally no more than 15 working days.</t>
        </is>
      </c>
    </row>
    <row r="13">
      <c r="A13" s="348" t="inlineStr">
        <is>
          <t>Idaho</t>
        </is>
      </c>
      <c r="B13" s="348" t="inlineStr">
        <is>
          <t>Reasonably Prompt</t>
        </is>
      </c>
      <c r="C13" s="348" t="inlineStr">
        <is>
          <t>Prompt Investigation Required</t>
        </is>
      </c>
      <c r="D13" s="348" t="inlineStr">
        <is>
          <t>Reasonable Time after completed proof of loss / Prompt Payment Required</t>
        </is>
      </c>
      <c r="E13" s="348" t="inlineStr">
        <is>
          <t>Idaho Code § 41-1329(2)-(6), (14)</t>
        </is>
      </c>
      <c r="F13" s="348" t="inlineStr">
        <is>
          <t>https://legislature.idaho.gov/statutesrules/idstat/Title41/T41CH13/SECT41-1329/</t>
        </is>
      </c>
      <c r="G13" s="348" t="inlineStr">
        <is>
          <t>Idaho general unfair-claims law uses reasonably prompt/prompt/reasonable-time standards; fixed day counts are line-specific and not used as general auto deadlines.</t>
        </is>
      </c>
    </row>
    <row r="14">
      <c r="A14" s="348" t="inlineStr">
        <is>
          <t>Illinois</t>
        </is>
      </c>
      <c r="B14" s="348" t="inlineStr">
        <is>
          <t>No Fixed Deadline Located</t>
        </is>
      </c>
      <c r="C14" s="348" t="inlineStr">
        <is>
          <t>40/60 days auto median periods; 45-day explanation</t>
        </is>
      </c>
      <c r="D14" s="348" t="inlineStr">
        <is>
          <t>30 days after liability affirmed</t>
        </is>
      </c>
      <c r="E14" s="348" t="inlineStr">
        <is>
          <t>50 Ill. Adm. Code 919.50, 919.70, 919.80</t>
        </is>
      </c>
      <c r="F14" s="348" t="inlineStr">
        <is>
          <t>https://www.ilga.gov/commission/jcar/admincode/050/05000919sections.html</t>
        </is>
      </c>
      <c r="G14" s="348" t="inlineStr">
        <is>
          <t>Insurer must pay within 30 days after affirming liability; delayed claims require written explanations.</t>
        </is>
      </c>
    </row>
    <row r="15">
      <c r="A15" s="348" t="inlineStr">
        <is>
          <t>Indiana</t>
        </is>
      </c>
      <c r="B15" s="348" t="inlineStr">
        <is>
          <t>Prompt Required</t>
        </is>
      </c>
      <c r="C15" s="348" t="inlineStr">
        <is>
          <t>No Fixed Deadline Located</t>
        </is>
      </c>
      <c r="D15" s="348" t="inlineStr">
        <is>
          <t>Prompt Payment Required</t>
        </is>
      </c>
      <c r="E15" s="348" t="inlineStr">
        <is>
          <t>Ind. Code § 27-4-1-4.5</t>
        </is>
      </c>
      <c r="F15" s="348" t="inlineStr">
        <is>
          <t>https://iga.in.gov/laws/2025/ic/titles/27#27-4-1-4.5</t>
        </is>
      </c>
      <c r="G15" s="348" t="inlineStr">
        <is>
          <t>Indiana’s unfair-claim statute uses prompt-claim language rather than fixed general day counts.</t>
        </is>
      </c>
    </row>
    <row r="16">
      <c r="A16" s="348" t="inlineStr">
        <is>
          <t>Iowa</t>
        </is>
      </c>
      <c r="B16" s="348" t="inlineStr">
        <is>
          <t>15 days</t>
        </is>
      </c>
      <c r="C16" s="348" t="inlineStr">
        <is>
          <t>30 days / 45-day updates</t>
        </is>
      </c>
      <c r="D16" s="348" t="inlineStr">
        <is>
          <t>30 days after liability affirmed</t>
        </is>
      </c>
      <c r="E16" s="348" t="inlineStr">
        <is>
          <t>Iowa Admin. Code r. 191-15.41 to 15.42</t>
        </is>
      </c>
      <c r="F16" s="348" t="inlineStr">
        <is>
          <t>https://www.legis.iowa.gov/law/administrativeRules/rules?agency=191</t>
        </is>
      </c>
      <c r="G16" s="348" t="inlineStr">
        <is>
          <t>P&amp;C claims require acknowledgment within 15 days, decision within 30 days, and 45-day status updates when unresolved.</t>
        </is>
      </c>
    </row>
    <row r="17">
      <c r="A17" s="348" t="inlineStr">
        <is>
          <t>Kansas</t>
        </is>
      </c>
      <c r="B17" s="348" t="inlineStr">
        <is>
          <t>Reasonably Prompt</t>
        </is>
      </c>
      <c r="C17" s="348" t="inlineStr">
        <is>
          <t>Prompt Investigation Required</t>
        </is>
      </c>
      <c r="D17" s="348" t="inlineStr">
        <is>
          <t>30 calendar days after agreed amount / Prompt Payment Required</t>
        </is>
      </c>
      <c r="E17" s="348" t="inlineStr">
        <is>
          <t>K.S.A. 40-2404(9)(b)-(f), (n); K.S.A. 40-2,126; K.A.R. 40-1-34</t>
        </is>
      </c>
      <c r="F17" s="348" t="inlineStr">
        <is>
          <t>https://ksrevisor.gov/statutes/chapters/ch40/040_024_0004.html; https://ksrevisor.gov/statutes/chapters/ch40/040_002_0126.html</t>
        </is>
      </c>
      <c r="G17" s="348" t="inlineStr">
        <is>
          <t>Kansas general unfair-claims law uses reasonably prompt/prompt/reasonable-time standards; settlement-payment interest applies 30 calendar days after amount is agreed.</t>
        </is>
      </c>
    </row>
    <row r="18">
      <c r="A18" s="348" t="inlineStr">
        <is>
          <t>Kentucky</t>
        </is>
      </c>
      <c r="B18" s="348" t="inlineStr">
        <is>
          <t>15 days</t>
        </is>
      </c>
      <c r="C18" s="348" t="inlineStr">
        <is>
          <t>30 days / 45-day updates</t>
        </is>
      </c>
      <c r="D18" s="348" t="inlineStr">
        <is>
          <t>30 days after liability affirmed</t>
        </is>
      </c>
      <c r="E18" s="348" t="inlineStr">
        <is>
          <t>806 KAR 12:095; Ky. Rev. Stat. § 304.12-235</t>
        </is>
      </c>
      <c r="F18" s="348" t="inlineStr">
        <is>
          <t>https://apps.legislature.ky.gov/law/kar/titles/806/012/095/</t>
        </is>
      </c>
      <c r="G18" s="348" t="inlineStr">
        <is>
          <t>P&amp;C claims require acknowledgment/forms within 15 days, decision within 30 days, and 45-day delay updates.</t>
        </is>
      </c>
    </row>
    <row r="19">
      <c r="A19" s="348" t="inlineStr">
        <is>
          <t>Louisiana</t>
        </is>
      </c>
      <c r="B19" s="348" t="inlineStr">
        <is>
          <t>14 days to initiate claim</t>
        </is>
      </c>
      <c r="C19" s="348" t="inlineStr">
        <is>
          <t>30 days to offer settlement</t>
        </is>
      </c>
      <c r="D19" s="348" t="inlineStr">
        <is>
          <t>30 days</t>
        </is>
      </c>
      <c r="E19" s="348" t="inlineStr">
        <is>
          <t>La. Rev. Stat. §§ 22:1892, 22:1811, 22:1821</t>
        </is>
      </c>
      <c r="F19" s="348" t="inlineStr">
        <is>
          <t>https://legis.la.gov/legis/Law.aspx?d=507316</t>
        </is>
      </c>
      <c r="G19" s="348" t="inlineStr">
        <is>
          <t>Property/casualty insurers must initiate adjustment within 14 days and timely pay after proof or settlement obligations arise.</t>
        </is>
      </c>
    </row>
    <row r="20">
      <c r="A20" s="348" t="inlineStr">
        <is>
          <t>Maine</t>
        </is>
      </c>
      <c r="B20" s="348" t="inlineStr">
        <is>
          <t>No Fixed Deadline Located</t>
        </is>
      </c>
      <c r="C20" s="348" t="inlineStr">
        <is>
          <t>No Fixed Deadline Located</t>
        </is>
      </c>
      <c r="D20" s="348" t="inlineStr">
        <is>
          <t>30 days; 60 days fire; 2 months life</t>
        </is>
      </c>
      <c r="E20" s="348" t="inlineStr">
        <is>
          <t>24-A M.R.S. §§ 2436, 3002, 2513</t>
        </is>
      </c>
      <c r="F20" s="348" t="inlineStr">
        <is>
          <t>https://legislature.maine.gov/statutes/24-A/title24-Asec2436.html</t>
        </is>
      </c>
      <c r="G20" s="348" t="inlineStr">
        <is>
          <t>Maine provides line-specific late-payment rules rather than a broad acknowledgment/investigation deadline.</t>
        </is>
      </c>
    </row>
    <row r="21">
      <c r="A21" s="348" t="inlineStr">
        <is>
          <t>Maryland</t>
        </is>
      </c>
      <c r="B21" s="348" t="inlineStr">
        <is>
          <t>15 working days</t>
        </is>
      </c>
      <c r="C21" s="348" t="inlineStr">
        <is>
          <t>15 working days to affirm/deny P&amp;C</t>
        </is>
      </c>
      <c r="D21" s="348" t="inlineStr">
        <is>
          <t>30 days for PIP/health; 15 working days P&amp;C coverage decision</t>
        </is>
      </c>
      <c r="E21" s="348" t="inlineStr">
        <is>
          <t>COMAR 31.15.07.03; COMAR 31.15.08.03; Md. Code Ins. § 19-508</t>
        </is>
      </c>
      <c r="F21" s="348" t="inlineStr">
        <is>
          <t>https://dsd.maryland.gov/regulations/Pages/31.15.07.03.aspx</t>
        </is>
      </c>
      <c r="G21" s="348" t="inlineStr">
        <is>
          <t>P&amp;C claims generally require acknowledgment and coverage decision within 15 working days.</t>
        </is>
      </c>
    </row>
    <row r="22">
      <c r="A22" s="348" t="inlineStr">
        <is>
          <t>Massachusetts</t>
        </is>
      </c>
      <c r="B22" s="348" t="inlineStr">
        <is>
          <t>Prompt Required</t>
        </is>
      </c>
      <c r="C22" s="348" t="inlineStr">
        <is>
          <t>Prompt Required</t>
        </is>
      </c>
      <c r="D22" s="348" t="inlineStr">
        <is>
          <t>Promptly / 30 days life</t>
        </is>
      </c>
      <c r="E22" s="348" t="inlineStr">
        <is>
          <t>Mass. Gen. Laws ch. 176D, § 3(9); ch. 175, § 119C</t>
        </is>
      </c>
      <c r="F22" s="348" t="inlineStr">
        <is>
          <t>https://malegislature.gov/Laws/GeneralLaws/PartI/TitleXXII/Chapter176D/Section3</t>
        </is>
      </c>
      <c r="G22" s="348" t="inlineStr">
        <is>
          <t>Massachusetts uses prompt-claim standards in its unfair-claims statute; some lines have specific payment rules.</t>
        </is>
      </c>
    </row>
    <row r="23">
      <c r="A23" s="348" t="inlineStr">
        <is>
          <t>Michigan</t>
        </is>
      </c>
      <c r="B23" s="348" t="inlineStr">
        <is>
          <t>30 days for needed proof information</t>
        </is>
      </c>
      <c r="C23" s="348" t="inlineStr">
        <is>
          <t>30 days deficiency notice for health</t>
        </is>
      </c>
      <c r="D23" s="348" t="inlineStr">
        <is>
          <t>60 days after proof of loss</t>
        </is>
      </c>
      <c r="E23" s="348" t="inlineStr">
        <is>
          <t>Mich. Comp. Laws § 500.2006</t>
        </is>
      </c>
      <c r="F23" s="348" t="inlineStr">
        <is>
          <t>https://www.legislature.mi.gov/Laws/MCL?objectName=mcl-500-2006</t>
        </is>
      </c>
      <c r="G23" s="348" t="inlineStr">
        <is>
          <t>Insurer must identify needed proof within 30 days unless paid; overdue benefits accrue interest after statutory deadlines.</t>
        </is>
      </c>
    </row>
    <row r="24">
      <c r="A24" s="348" t="inlineStr">
        <is>
          <t>Minnesota</t>
        </is>
      </c>
      <c r="B24" s="348" t="inlineStr">
        <is>
          <t>10 business days</t>
        </is>
      </c>
      <c r="C24" s="348" t="inlineStr">
        <is>
          <t>60 days to accept/deny</t>
        </is>
      </c>
      <c r="D24" s="348" t="inlineStr">
        <is>
          <t>30 business days</t>
        </is>
      </c>
      <c r="E24" s="348" t="inlineStr">
        <is>
          <t>Minn. Stat. § 72A.201, subd. 4; § 62Q.75</t>
        </is>
      </c>
      <c r="F24" s="348" t="inlineStr">
        <is>
          <t>https://www.revisor.mn.gov/statutes/cite/72A.201</t>
        </is>
      </c>
      <c r="G24" s="348" t="inlineStr">
        <is>
          <t>Insurers must acknowledge within 10 business days and notify acceptance or denial within 60 days.</t>
        </is>
      </c>
    </row>
    <row r="25">
      <c r="A25" s="348" t="inlineStr">
        <is>
          <t>Mississippi</t>
        </is>
      </c>
      <c r="B25" s="348" t="inlineStr">
        <is>
          <t>No Fixed General Auto/P&amp;C Deadline Located</t>
        </is>
      </c>
      <c r="C25" s="348" t="inlineStr">
        <is>
          <t>No Fixed General Auto/P&amp;C Deadline Located</t>
        </is>
      </c>
      <c r="D25" s="348" t="inlineStr">
        <is>
          <t>No Fixed General Auto/P&amp;C Deadline Located</t>
        </is>
      </c>
      <c r="E25" s="348" t="inlineStr">
        <is>
          <t>Miss. Code Ann. § 83-9-5; MID Accident and Health Submission Requirements</t>
        </is>
      </c>
      <c r="F25" s="348" t="inlineStr">
        <is>
          <t>https://www.mid.ms.gov/wp-content/uploads/2023/04/accidentandhealthsubmissionrequirements.pdf</t>
        </is>
      </c>
      <c r="G25" s="348" t="inlineStr">
        <is>
          <t>No broad Mississippi statutory/regulatory auto/P&amp;C claim-handling deadline was located; fixed 15/25/35-day timing is accident-and-health clean-claim specific.</t>
        </is>
      </c>
    </row>
    <row r="26">
      <c r="A26" s="348" t="inlineStr">
        <is>
          <t>Missouri</t>
        </is>
      </c>
      <c r="B26" s="348" t="inlineStr">
        <is>
          <t>10 working days</t>
        </is>
      </c>
      <c r="C26" s="348" t="inlineStr">
        <is>
          <t>15 working days after forms / 45-day updates</t>
        </is>
      </c>
      <c r="D26" s="348" t="inlineStr">
        <is>
          <t>10 working days</t>
        </is>
      </c>
      <c r="E26" s="348" t="inlineStr">
        <is>
          <t>20 CSR 100-1.010 to 100-1.050</t>
        </is>
      </c>
      <c r="F26" s="348" t="inlineStr">
        <is>
          <t>https://www.sos.mo.gov/cmsimages/adrules/csr/current/20csr/20c100-1.pdf</t>
        </is>
      </c>
      <c r="G26" s="348" t="inlineStr">
        <is>
          <t>Insurer must acknowledge and respond within 10 working days; accept/deny within 15 working days after submitted forms.</t>
        </is>
      </c>
    </row>
    <row r="27">
      <c r="A27" s="348" t="inlineStr">
        <is>
          <t>Montana</t>
        </is>
      </c>
      <c r="B27" s="348" t="inlineStr">
        <is>
          <t>Reasonable Time</t>
        </is>
      </c>
      <c r="C27" s="348" t="inlineStr">
        <is>
          <t>Prompt Investigation Required</t>
        </is>
      </c>
      <c r="D27" s="348" t="inlineStr">
        <is>
          <t>Prompt Payment Required</t>
        </is>
      </c>
      <c r="E27" s="348" t="inlineStr">
        <is>
          <t>Mont. Code Ann. § 33-18-201(2), (3), (5), (6)</t>
        </is>
      </c>
      <c r="F27" s="348" t="inlineStr">
        <is>
          <t>https://mca.legmt.gov/bills/mca/title_0330/chapter_0180/part_0020/section_0010/0330-0180-0020-0010.html</t>
        </is>
      </c>
      <c r="G27" s="348" t="inlineStr">
        <is>
          <t>Montana uses reasonable/prompt standards rather than fixed general day counts.</t>
        </is>
      </c>
    </row>
    <row r="28">
      <c r="A28" s="348" t="inlineStr">
        <is>
          <t>Nebraska</t>
        </is>
      </c>
      <c r="B28" s="348" t="inlineStr">
        <is>
          <t>15 days for claim forms</t>
        </is>
      </c>
      <c r="C28" s="348" t="inlineStr">
        <is>
          <t>Reasonable Time / 15 days after proof for decision</t>
        </is>
      </c>
      <c r="D28" s="348" t="inlineStr">
        <is>
          <t>15 days after acceptance/denial where payment owed</t>
        </is>
      </c>
      <c r="E28" s="348" t="inlineStr">
        <is>
          <t>Neb. Rev. Stat. § 44-1540; 210 Neb. Admin. Code ch. 60/61</t>
        </is>
      </c>
      <c r="F28" s="348" t="inlineStr">
        <is>
          <t>https://nebraskalegislature.gov/laws/statutes.php?statute=44-1540</t>
        </is>
      </c>
      <c r="G28" s="348" t="inlineStr">
        <is>
          <t>Nebraska provides fixed form and decision timing, with broader reasonable/prompt settlement duties.</t>
        </is>
      </c>
    </row>
    <row r="29">
      <c r="A29" s="348" t="inlineStr">
        <is>
          <t>Nevada</t>
        </is>
      </c>
      <c r="B29" s="348" t="inlineStr">
        <is>
          <t>20 working days</t>
        </is>
      </c>
      <c r="C29" s="348" t="inlineStr">
        <is>
          <t>30 working days / 30-day updates</t>
        </is>
      </c>
      <c r="D29" s="348" t="inlineStr">
        <is>
          <t>30 working days after settlement agreement</t>
        </is>
      </c>
      <c r="E29" s="348" t="inlineStr">
        <is>
          <t>Nev. Admin. Code §§ 686A.660, 686A.675, 686A.690</t>
        </is>
      </c>
      <c r="F29" s="348" t="inlineStr">
        <is>
          <t>https://www.leg.state.nv.us/NAC/NAC-686A.html</t>
        </is>
      </c>
      <c r="G29" s="348" t="inlineStr">
        <is>
          <t>P&amp;C claims use 20-working-day acknowledgment and 30-working-day decision/payment standards.</t>
        </is>
      </c>
    </row>
    <row r="30">
      <c r="A30" s="348" t="inlineStr">
        <is>
          <t>New Hampshire</t>
        </is>
      </c>
      <c r="B30" s="348" t="inlineStr">
        <is>
          <t>10 working days</t>
        </is>
      </c>
      <c r="C30" s="348" t="inlineStr">
        <is>
          <t>5 working days to commence / 30 days decision</t>
        </is>
      </c>
      <c r="D30" s="348" t="inlineStr">
        <is>
          <t>Promptly after acceptance; 30 days health</t>
        </is>
      </c>
      <c r="E30" s="348" t="inlineStr">
        <is>
          <t>N.H. Code Admin. R. Ins 1001.01, 1001.02; Ins 1002.05</t>
        </is>
      </c>
      <c r="F30" s="348" t="inlineStr">
        <is>
          <t>https://www.gencourt.state.nh.us/rules/state_agencies/ins1000.html</t>
        </is>
      </c>
      <c r="G30" s="348" t="inlineStr">
        <is>
          <t>P&amp;C rules require acknowledgment within 10 working days and prompt investigation.</t>
        </is>
      </c>
    </row>
    <row r="31">
      <c r="A31" s="348" t="inlineStr">
        <is>
          <t>New Jersey</t>
        </is>
      </c>
      <c r="B31" s="348" t="inlineStr">
        <is>
          <t>10 working days</t>
        </is>
      </c>
      <c r="C31" s="348" t="inlineStr">
        <is>
          <t>10 working days to commence; 30 days after properly completed proof of loss</t>
        </is>
      </c>
      <c r="D31" s="348" t="inlineStr">
        <is>
          <t>10 working days after settlement agreement</t>
        </is>
      </c>
      <c r="E31" s="348" t="inlineStr">
        <is>
          <t>N.J.A.C. 11:2-17.6(b), (c), (e); 11:2-17.7(a), (c), (e), (f)</t>
        </is>
      </c>
      <c r="F31" s="348" t="inlineStr">
        <is>
          <t>https://advance.lexis.com/container?config=00JAA5OTY5MTdjZi1lMzYxLTQxNTEtOWFkNi0xMmU5ZTViODQ2M2MKAFBvZENhdGFsb2coFSYEAfv22IKqMT9DIHrf; https://www.nj.gov/dca/codes/codreg/admin_codes_statutes.shtml</t>
        </is>
      </c>
      <c r="G31" s="348" t="inlineStr">
        <is>
          <t>Official NJAC access is through the State-licensed LexisNexis public code; row uses provision-level deadlines and official access note.</t>
        </is>
      </c>
    </row>
    <row r="32">
      <c r="A32" s="348" t="inlineStr">
        <is>
          <t>New Mexico</t>
        </is>
      </c>
      <c r="B32" s="348" t="inlineStr">
        <is>
          <t>Reasonable Time</t>
        </is>
      </c>
      <c r="C32" s="348" t="inlineStr">
        <is>
          <t>Prompt Investigation Required</t>
        </is>
      </c>
      <c r="D32" s="348" t="inlineStr">
        <is>
          <t>Prompt Payment Required</t>
        </is>
      </c>
      <c r="E32" s="348" t="inlineStr">
        <is>
          <t>NMSA 1978, § 59A-16-20(B)-(F); OSI Bulletin 2025-010</t>
        </is>
      </c>
      <c r="F32" s="348" t="inlineStr">
        <is>
          <t>https://www.osi.state.nm.us/en/news/bulletin-2025-010/</t>
        </is>
      </c>
      <c r="G32" s="348" t="inlineStr">
        <is>
          <t>Verified: New Mexico generally uses reasonable/prompt standards; 2025 OSI bulletin confirms current unfair-claims authority.</t>
        </is>
      </c>
    </row>
    <row r="33">
      <c r="A33" s="348" t="inlineStr">
        <is>
          <t>New York</t>
        </is>
      </c>
      <c r="B33" s="348" t="inlineStr">
        <is>
          <t>15 business days</t>
        </is>
      </c>
      <c r="C33" s="348" t="inlineStr">
        <is>
          <t>15 business days to begin; 15 business days after proof for decision</t>
        </is>
      </c>
      <c r="D33" s="348" t="inlineStr">
        <is>
          <t>5 business days after agreement / 15 business days undisputed first-party auto</t>
        </is>
      </c>
      <c r="E33" s="348" t="inlineStr">
        <is>
          <t>11 NYCRR §§ 216.4(a)-(b), 216.5(a), 216.6(c), 216.6(e); DFS Circular Letter No. 11 (1991)</t>
        </is>
      </c>
      <c r="F33" s="348" t="inlineStr">
        <is>
          <t>https://govt.westlaw.com/nycrr/Document/I500ddac5cd1711dda432a117e6e0f345; https://www.dfs.ny.gov/industry_guidance/circular_letters/cl1991_11</t>
        </is>
      </c>
      <c r="G33" s="348" t="inlineStr">
        <is>
          <t>Regulation 64 applies to most lines except listed exclusions; DFS circular confirms scope and motor-vehicle-specific provisions.</t>
        </is>
      </c>
    </row>
    <row r="34">
      <c r="A34" s="348" t="inlineStr">
        <is>
          <t>North Carolina</t>
        </is>
      </c>
      <c r="B34" s="348" t="inlineStr">
        <is>
          <t>Reasonably Prompt</t>
        </is>
      </c>
      <c r="C34" s="348" t="inlineStr">
        <is>
          <t>Prompt Investigation Required</t>
        </is>
      </c>
      <c r="D34" s="348" t="inlineStr">
        <is>
          <t>10 business days after motor-vehicle claim settlement</t>
        </is>
      </c>
      <c r="E34" s="348" t="inlineStr">
        <is>
          <t>N.C. Gen. Stat. § 58-63-15(11); 11 NCAC 04 .0421</t>
        </is>
      </c>
      <c r="F34" s="348" t="inlineStr">
        <is>
          <t>https://reports.oah.state.nc.us/ncac.asp?folderName=%5CTitle%2011%20-%20Insurance%5CChapter%2004%20-%20Consumer%20Services%20Division</t>
        </is>
      </c>
      <c r="G34" s="348" t="inlineStr">
        <is>
          <t>General unfair-claims law uses prompt/reasonable standards; motor-vehicle payments have a fixed post-settlement deadline.</t>
        </is>
      </c>
    </row>
    <row r="35">
      <c r="A35" s="348" t="inlineStr">
        <is>
          <t>North Dakota</t>
        </is>
      </c>
      <c r="B35" s="348" t="inlineStr">
        <is>
          <t>Reasonable Time</t>
        </is>
      </c>
      <c r="C35" s="348" t="inlineStr">
        <is>
          <t>Prompt Investigation Required</t>
        </is>
      </c>
      <c r="D35" s="348" t="inlineStr">
        <is>
          <t>Prompt Payment Required / 15 business days health proof</t>
        </is>
      </c>
      <c r="E35" s="348" t="inlineStr">
        <is>
          <t>N.D.C.C. § 26.1-04-03(9); § 26.1-36-37.1</t>
        </is>
      </c>
      <c r="F35" s="348" t="inlineStr">
        <is>
          <t>https://ndlegis.gov/cencode/t26-1c04.pdf</t>
        </is>
      </c>
      <c r="G35" s="348" t="inlineStr">
        <is>
          <t>Verified: general claim rules use reasonable/prompt standards; health proof-of-loss claims have specific timing.</t>
        </is>
      </c>
    </row>
    <row r="36">
      <c r="A36" s="348" t="inlineStr">
        <is>
          <t>Ohio</t>
        </is>
      </c>
      <c r="B36" s="348" t="inlineStr">
        <is>
          <t>15 days</t>
        </is>
      </c>
      <c r="C36" s="348" t="inlineStr">
        <is>
          <t>21 days after proof / 45-day updates</t>
        </is>
      </c>
      <c r="D36" s="348" t="inlineStr">
        <is>
          <t>10 days after acceptance</t>
        </is>
      </c>
      <c r="E36" s="348" t="inlineStr">
        <is>
          <t>Ohio Admin. Code 3901-1-54(F), (G), (H)</t>
        </is>
      </c>
      <c r="F36" s="348" t="inlineStr">
        <is>
          <t>https://codes.ohio.gov/ohio-administrative-code/rule-3901-1-54</t>
        </is>
      </c>
      <c r="G36" s="348" t="inlineStr">
        <is>
          <t>P&amp;C insurers must acknowledge within 15 days and act on proof of loss within rule deadlines.</t>
        </is>
      </c>
    </row>
    <row r="37">
      <c r="A37" s="348" t="inlineStr">
        <is>
          <t>Oklahoma</t>
        </is>
      </c>
      <c r="B37" s="348" t="inlineStr">
        <is>
          <t>30 business days</t>
        </is>
      </c>
      <c r="C37" s="348" t="inlineStr">
        <is>
          <t>45 business days / 45-day updates</t>
        </is>
      </c>
      <c r="D37" s="348" t="inlineStr">
        <is>
          <t>Prompt Payment Required</t>
        </is>
      </c>
      <c r="E37" s="348" t="inlineStr">
        <is>
          <t>Okla. Admin. Code 365:15-3-5 to 365:15-3-8</t>
        </is>
      </c>
      <c r="F37" s="348" t="inlineStr">
        <is>
          <t>https://www.oid.ok.gov/wp-content/uploads/2019/10/18-11-07-C15S3.pdf</t>
        </is>
      </c>
      <c r="G37" s="348" t="inlineStr">
        <is>
          <t>P&amp;C insurers must acknowledge within 30 business days and provide delay updates when unresolved.</t>
        </is>
      </c>
    </row>
    <row r="38">
      <c r="A38" s="348" t="inlineStr">
        <is>
          <t>Oregon</t>
        </is>
      </c>
      <c r="B38" s="348" t="inlineStr">
        <is>
          <t>30 days</t>
        </is>
      </c>
      <c r="C38" s="348" t="inlineStr">
        <is>
          <t>30 days after proof / 45-day updates</t>
        </is>
      </c>
      <c r="D38" s="348" t="inlineStr">
        <is>
          <t>Prompt Payment Required</t>
        </is>
      </c>
      <c r="E38" s="348" t="inlineStr">
        <is>
          <t>Or. Admin. R. 836-080-0225; 836-080-0235; ORS 746.230</t>
        </is>
      </c>
      <c r="F38" s="348" t="inlineStr">
        <is>
          <t>https://secure.sos.state.or.us/oard/viewSingleRule.action?ruleVrsnRsn=205177</t>
        </is>
      </c>
      <c r="G38" s="348" t="inlineStr">
        <is>
          <t>Oregon requires acknowledgment within 30 days and acceptance/denial within 30 days after proof.</t>
        </is>
      </c>
    </row>
    <row r="39">
      <c r="A39" s="348" t="inlineStr">
        <is>
          <t>Pennsylvania</t>
        </is>
      </c>
      <c r="B39" s="348" t="inlineStr">
        <is>
          <t>10 working days</t>
        </is>
      </c>
      <c r="C39" s="348" t="inlineStr">
        <is>
          <t>30 days / 45-day updates</t>
        </is>
      </c>
      <c r="D39" s="348" t="inlineStr">
        <is>
          <t>15 working days after proof</t>
        </is>
      </c>
      <c r="E39" s="348" t="inlineStr">
        <is>
          <t>31 Pa. Code §§ 146.5, 146.6, 146.7</t>
        </is>
      </c>
      <c r="F39" s="348" t="inlineStr">
        <is>
          <t>https://www.pacodeandbulletin.gov/secure/pacode/data/031/chapter146/031_0146.pdf</t>
        </is>
      </c>
      <c r="G39" s="348" t="inlineStr">
        <is>
          <t>Pennsylvania sets fixed acknowledgment, investigation, delay-notice, and proof-of-loss decision standards.</t>
        </is>
      </c>
    </row>
    <row r="40">
      <c r="A40" s="348" t="inlineStr">
        <is>
          <t>Rhode Island</t>
        </is>
      </c>
      <c r="B40" s="348" t="inlineStr">
        <is>
          <t>15 days</t>
        </is>
      </c>
      <c r="C40" s="348" t="inlineStr">
        <is>
          <t>21 days after proof / 45-day updates</t>
        </is>
      </c>
      <c r="D40" s="348" t="inlineStr">
        <is>
          <t>30 days after liability affirmed</t>
        </is>
      </c>
      <c r="E40" s="348" t="inlineStr">
        <is>
          <t>230 RICR 20-40-2.6(A), (D), (F); 230 RICR 20-40-2.7(A), (B), (F)</t>
        </is>
      </c>
      <c r="F40" s="348" t="inlineStr">
        <is>
          <t>https://rules.sos.ri.gov/regulations/part/230-20-40-2</t>
        </is>
      </c>
      <c r="G40" s="348" t="inlineStr">
        <is>
          <t>P&amp;C: acknowledge/respond within 15 days; accept/deny within 21 days after proof; tender undisputed payment within 30 days after liability affirmation.</t>
        </is>
      </c>
    </row>
    <row r="41">
      <c r="A41" s="348" t="inlineStr">
        <is>
          <t>South Carolina</t>
        </is>
      </c>
      <c r="B41" s="348" t="inlineStr">
        <is>
          <t>Reasonably Prompt</t>
        </is>
      </c>
      <c r="C41" s="348" t="inlineStr">
        <is>
          <t>Prompt Investigation Required</t>
        </is>
      </c>
      <c r="D41" s="348" t="inlineStr">
        <is>
          <t>90 days if refusal without reasonable cause or bad faith</t>
        </is>
      </c>
      <c r="E41" s="348" t="inlineStr">
        <is>
          <t>S.C. Code Ann. §§ 38-59-20, 38-59-40</t>
        </is>
      </c>
      <c r="F41" s="348" t="inlineStr">
        <is>
          <t>https://www.scstatehouse.gov/code/t38c059.php</t>
        </is>
      </c>
      <c r="G41" s="348" t="inlineStr">
        <is>
          <t>South Carolina uses reasonable/prompt standards; bad-faith refusal to pay has a 90-day statutory trigger.</t>
        </is>
      </c>
    </row>
    <row r="42">
      <c r="A42" s="348" t="inlineStr">
        <is>
          <t>South Dakota</t>
        </is>
      </c>
      <c r="B42" s="348" t="inlineStr">
        <is>
          <t>30 days</t>
        </is>
      </c>
      <c r="C42" s="348" t="inlineStr">
        <is>
          <t>Prompt Investigation Required</t>
        </is>
      </c>
      <c r="D42" s="348" t="inlineStr">
        <is>
          <t>Prompt Payment Required</t>
        </is>
      </c>
      <c r="E42" s="348" t="inlineStr">
        <is>
          <t>S.D. Codified Laws §§ 58-33-67, 58-12-34</t>
        </is>
      </c>
      <c r="F42" s="348" t="inlineStr">
        <is>
          <t>https://sdlegislature.gov/Statutes/58-33-67</t>
        </is>
      </c>
      <c r="G42" s="348" t="inlineStr">
        <is>
          <t>Insurers must acknowledge and act within 30 days on claim communications.</t>
        </is>
      </c>
    </row>
    <row r="43">
      <c r="A43" s="348" t="inlineStr">
        <is>
          <t>Tennessee</t>
        </is>
      </c>
      <c r="B43" s="348" t="inlineStr">
        <is>
          <t>30 days</t>
        </is>
      </c>
      <c r="C43" s="348" t="inlineStr">
        <is>
          <t>60 days after proof / 60-day updates</t>
        </is>
      </c>
      <c r="D43" s="348" t="inlineStr">
        <is>
          <t>30 days after liability affirmed</t>
        </is>
      </c>
      <c r="E43" s="348" t="inlineStr">
        <is>
          <t>Tenn. Comp. R. &amp; Regs. 0780-01-05-.07, -.08; Tenn. Code Ann. § 56-8-105</t>
        </is>
      </c>
      <c r="F43" s="348" t="inlineStr">
        <is>
          <t>https://publications.tnsosfiles.com/rules/0780/0780-01/0780-01-05.20171009.pdf</t>
        </is>
      </c>
      <c r="G43" s="348" t="inlineStr">
        <is>
          <t>Tennessee sets 30-day acknowledgment, 60-day proof-of-loss decision/update, and 30-day payment after liability is affirmed.</t>
        </is>
      </c>
    </row>
    <row r="44">
      <c r="A44" s="348" t="inlineStr">
        <is>
          <t>Texas</t>
        </is>
      </c>
      <c r="B44" s="348" t="inlineStr">
        <is>
          <t>15 days; 30 days surplus lines</t>
        </is>
      </c>
      <c r="C44" s="348" t="inlineStr">
        <is>
          <t>15 business days after all required items / 45-day extension</t>
        </is>
      </c>
      <c r="D44" s="348" t="inlineStr">
        <is>
          <t>5 business days after notice of payment; surplus lines 20 business days</t>
        </is>
      </c>
      <c r="E44" s="348" t="inlineStr">
        <is>
          <t>Tex. Ins. Code §§ 542.055, 542.056, 542.057</t>
        </is>
      </c>
      <c r="F44" s="348" t="inlineStr">
        <is>
          <t>https://statutes.capitol.texas.gov/Docs/IN/htm/IN.542.htm#542.055</t>
        </is>
      </c>
      <c r="G44" s="348" t="inlineStr">
        <is>
          <t>Prompt Payment of Claims Act sets acknowledgment, acceptance/rejection, extension, and payment trigger deadlines for first-party claims.</t>
        </is>
      </c>
    </row>
    <row r="45">
      <c r="A45" s="348" t="inlineStr">
        <is>
          <t>Utah</t>
        </is>
      </c>
      <c r="B45" s="348" t="inlineStr">
        <is>
          <t>15 days</t>
        </is>
      </c>
      <c r="C45" s="348" t="inlineStr">
        <is>
          <t>30 days after proof / 45-day updates</t>
        </is>
      </c>
      <c r="D45" s="348" t="inlineStr">
        <is>
          <t>30 days after proof when liability reasonably clear</t>
        </is>
      </c>
      <c r="E45" s="348" t="inlineStr">
        <is>
          <t>Utah Admin. Code R590-190-6; R590-190-9; R590-190-10</t>
        </is>
      </c>
      <c r="F45" s="348" t="inlineStr">
        <is>
          <t>https://adminrules.utah.gov/public/rule/R590-190/Current%20Rules</t>
        </is>
      </c>
      <c r="G45" s="348" t="inlineStr">
        <is>
          <t>Utah P&amp;C rule sets 15-day acknowledgment and 30-day proof-of-loss investigation/payment standards, with 45-day updates if incomplete.</t>
        </is>
      </c>
    </row>
    <row r="46">
      <c r="A46" s="348" t="inlineStr">
        <is>
          <t>Vermont</t>
        </is>
      </c>
      <c r="B46" s="348" t="inlineStr">
        <is>
          <t>10 working days</t>
        </is>
      </c>
      <c r="C46" s="348" t="inlineStr">
        <is>
          <t>15 working days after proof / 45-day updates</t>
        </is>
      </c>
      <c r="D46" s="348" t="inlineStr">
        <is>
          <t>10 working days after settlement agreement</t>
        </is>
      </c>
      <c r="E46" s="348" t="inlineStr">
        <is>
          <t>Vt. Admin. Code 21-020-008 §§ 5-7; 8 V.S.A. § 4724(9)</t>
        </is>
      </c>
      <c r="F46" s="348" t="inlineStr">
        <is>
          <t>https://legislature.vermont.gov/statutes/section/08/129/04724; https://www.lexisnexis.com/hottopics/codeofvtrules/</t>
        </is>
      </c>
      <c r="G46" s="348" t="inlineStr">
        <is>
          <t>Official statute confirms unfair-claims authority; regulation supplies fixed timing, but official public regulation access is through the Vermont code portal.</t>
        </is>
      </c>
    </row>
    <row r="47">
      <c r="A47" s="348" t="inlineStr">
        <is>
          <t>Virginia</t>
        </is>
      </c>
      <c r="B47" s="348" t="inlineStr">
        <is>
          <t>15 calendar days</t>
        </is>
      </c>
      <c r="C47" s="348" t="inlineStr">
        <is>
          <t>15 calendar days after proof / 45-day updates</t>
        </is>
      </c>
      <c r="D47" s="348" t="inlineStr">
        <is>
          <t>Prompt Payment Required</t>
        </is>
      </c>
      <c r="E47" s="348" t="inlineStr">
        <is>
          <t>14VAC5-400-50; 14VAC5-400-60; 14VAC5-400-70; Va. Code § 38.2-510(A)(2)-(6)</t>
        </is>
      </c>
      <c r="F47" s="348" t="inlineStr">
        <is>
          <t>https://law.lis.virginia.gov/admincodefull/title14/agency5/chapter400/</t>
        </is>
      </c>
      <c r="G47" s="348" t="inlineStr">
        <is>
          <t>Virginia admin code sets fixed acknowledgment and proof-of-loss decision timing; statute supplies unfair-claim authority.</t>
        </is>
      </c>
    </row>
    <row r="48">
      <c r="A48" s="348" t="inlineStr">
        <is>
          <t>Washington</t>
        </is>
      </c>
      <c r="B48" s="348" t="inlineStr">
        <is>
          <t>10 working days individual / 15 working days group</t>
        </is>
      </c>
      <c r="C48" s="348" t="inlineStr">
        <is>
          <t>30 days / 45-day then 30-day updates</t>
        </is>
      </c>
      <c r="D48" s="348" t="inlineStr">
        <is>
          <t>15 working days after completed proof acceptance/denial; prompt payment required</t>
        </is>
      </c>
      <c r="E48" s="348" t="inlineStr">
        <is>
          <t>WAC 284-30-360; WAC 284-30-370; WAC 284-30-380</t>
        </is>
      </c>
      <c r="F48" s="348" t="inlineStr">
        <is>
          <t>https://app.leg.wa.gov/WAC/default.aspx?cite=284-30-360</t>
        </is>
      </c>
      <c r="G48" s="348" t="inlineStr">
        <is>
          <t>Washington sets fixed acknowledgment, investigation, proof-of-loss decision, delay-update, and payment standards.</t>
        </is>
      </c>
    </row>
    <row r="49">
      <c r="A49" s="348" t="inlineStr">
        <is>
          <t>West Virginia</t>
        </is>
      </c>
      <c r="B49" s="348" t="inlineStr">
        <is>
          <t>15 working days</t>
        </is>
      </c>
      <c r="C49" s="348" t="inlineStr">
        <is>
          <t>15 working days to commence; 10 working days after completed investigation</t>
        </is>
      </c>
      <c r="D49" s="348" t="inlineStr">
        <is>
          <t>15 working days after settlement agreement/condition performed</t>
        </is>
      </c>
      <c r="E49" s="348" t="inlineStr">
        <is>
          <t>W. Va. Code R. §§ 114-14-5, 114-14-6</t>
        </is>
      </c>
      <c r="F49" s="348" t="inlineStr">
        <is>
          <t>https://www.wvinsurance.gov/LinkClick.aspx?fileticket=HeCI8XRvGoM%3D&amp;mid=886&amp;portalid=0&amp;tabid=329</t>
        </is>
      </c>
      <c r="G49" s="348" t="inlineStr">
        <is>
          <t>Insurers must acknowledge within 15 working days, commence investigation within 15 working days, and pay settlements within 15 working days.</t>
        </is>
      </c>
    </row>
    <row r="50">
      <c r="A50" s="348" t="inlineStr">
        <is>
          <t>Wisconsin</t>
        </is>
      </c>
      <c r="B50" s="348" t="inlineStr">
        <is>
          <t>10 days</t>
        </is>
      </c>
      <c r="C50" s="348" t="inlineStr">
        <is>
          <t>Reasonable Time</t>
        </is>
      </c>
      <c r="D50" s="348" t="inlineStr">
        <is>
          <t>30 days after written notice of covered loss and amount</t>
        </is>
      </c>
      <c r="E50" s="348" t="inlineStr">
        <is>
          <t>Wis. Admin. Code Ins § 6.11; Wis. Stat. § 628.46</t>
        </is>
      </c>
      <c r="F50" s="348" t="inlineStr">
        <is>
          <t>https://docs.legis.wisconsin.gov/code/admin_code/ins/6/11</t>
        </is>
      </c>
      <c r="G50" s="348" t="inlineStr">
        <is>
          <t>Wisconsin requires claim acknowledgment within 10 days and payment within 30 days once covered loss and amount are established.</t>
        </is>
      </c>
    </row>
    <row r="51">
      <c r="A51" s="348" t="inlineStr">
        <is>
          <t>Wyoming</t>
        </is>
      </c>
      <c r="B51" s="348" t="inlineStr">
        <is>
          <t>Reasonably Prompt</t>
        </is>
      </c>
      <c r="C51" s="348" t="inlineStr">
        <is>
          <t>Prompt Investigation Required</t>
        </is>
      </c>
      <c r="D51" s="348" t="inlineStr">
        <is>
          <t>Prompt Payment Required</t>
        </is>
      </c>
      <c r="E51" s="348" t="inlineStr">
        <is>
          <t>Wyo. Stat. Ann. § 26-13-124(a)(ii)-(vi)</t>
        </is>
      </c>
      <c r="F51" s="348" t="inlineStr">
        <is>
          <t>https://wyoleg.gov/statutes/compress/title26.pdf</t>
        </is>
      </c>
      <c r="G51" s="348" t="inlineStr">
        <is>
          <t>Wyoming uses reasonably prompt/prompt unfair-claims standards rather than fixed general day counts.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18" customWidth="1" style="355" min="2" max="2"/>
    <col width="80" customWidth="1" style="355" min="3" max="3"/>
  </cols>
  <sheetData>
    <row r="1">
      <c r="A1" s="425" t="inlineStr">
        <is>
          <t>State</t>
        </is>
      </c>
      <c r="B1" s="425" t="inlineStr">
        <is>
          <t>C7 Status</t>
        </is>
      </c>
      <c r="C1" s="425" t="inlineStr">
        <is>
          <t>Normalization Notes</t>
        </is>
      </c>
    </row>
    <row r="2">
      <c r="A2" s="348" t="inlineStr">
        <is>
          <t>Alabama</t>
        </is>
      </c>
      <c r="B2" s="348" t="inlineStr">
        <is>
          <t>Pass</t>
        </is>
      </c>
      <c r="C2" s="348" t="inlineStr">
        <is>
          <t>No wording change needed.</t>
        </is>
      </c>
    </row>
    <row r="3">
      <c r="A3" s="348" t="inlineStr">
        <is>
          <t>Alaska</t>
        </is>
      </c>
      <c r="B3" s="348" t="inlineStr">
        <is>
          <t>Pass</t>
        </is>
      </c>
      <c r="C3" s="348" t="inlineStr">
        <is>
          <t>No wording change needed.</t>
        </is>
      </c>
    </row>
    <row r="4">
      <c r="A4" s="348" t="inlineStr">
        <is>
          <t>Arizona</t>
        </is>
      </c>
      <c r="B4" s="348" t="inlineStr">
        <is>
          <t>Pass</t>
        </is>
      </c>
      <c r="C4" s="348" t="inlineStr">
        <is>
          <t>No wording change needed.</t>
        </is>
      </c>
    </row>
    <row r="5">
      <c r="A5" s="348" t="inlineStr">
        <is>
          <t>Arkansas</t>
        </is>
      </c>
      <c r="B5" s="348" t="inlineStr">
        <is>
          <t>Pass</t>
        </is>
      </c>
      <c r="C5" s="348" t="inlineStr">
        <is>
          <t>No wording change needed.</t>
        </is>
      </c>
    </row>
    <row r="6">
      <c r="A6" s="348" t="inlineStr">
        <is>
          <t>California</t>
        </is>
      </c>
      <c r="B6" s="348" t="inlineStr">
        <is>
          <t>Pass</t>
        </is>
      </c>
      <c r="C6" s="348" t="inlineStr">
        <is>
          <t>No wording change needed.</t>
        </is>
      </c>
    </row>
    <row r="7">
      <c r="A7" s="348" t="inlineStr">
        <is>
          <t>Colorado</t>
        </is>
      </c>
      <c r="B7" s="348" t="inlineStr">
        <is>
          <t>Pass</t>
        </is>
      </c>
      <c r="C7" s="348" t="inlineStr">
        <is>
          <t>No wording change needed.</t>
        </is>
      </c>
    </row>
    <row r="8">
      <c r="A8" s="348" t="inlineStr">
        <is>
          <t>Connecticut</t>
        </is>
      </c>
      <c r="B8" s="348" t="inlineStr">
        <is>
          <t>Standardized</t>
        </is>
      </c>
      <c r="C8" s="348" t="inlineStr">
        <is>
          <t>Investigation: 'Not specified' -&gt; 'No Fixed Deadline Located'; Payment: 'Promptly' -&gt; 'Prompt Payment Required'</t>
        </is>
      </c>
    </row>
    <row r="9">
      <c r="A9" s="348" t="inlineStr">
        <is>
          <t>Delaware</t>
        </is>
      </c>
      <c r="B9" s="348" t="inlineStr">
        <is>
          <t>Pass</t>
        </is>
      </c>
      <c r="C9" s="348" t="inlineStr">
        <is>
          <t>No wording change needed.</t>
        </is>
      </c>
    </row>
    <row r="10">
      <c r="A10" s="348" t="inlineStr">
        <is>
          <t>Florida</t>
        </is>
      </c>
      <c r="B10" s="348" t="inlineStr">
        <is>
          <t>Pass</t>
        </is>
      </c>
      <c r="C10" s="348" t="inlineStr">
        <is>
          <t>No wording change needed.</t>
        </is>
      </c>
    </row>
    <row r="11">
      <c r="A11" s="348" t="inlineStr">
        <is>
          <t>Georgia</t>
        </is>
      </c>
      <c r="B11" s="348" t="inlineStr">
        <is>
          <t>Pass</t>
        </is>
      </c>
      <c r="C11" s="348" t="inlineStr">
        <is>
          <t>No wording change needed.</t>
        </is>
      </c>
    </row>
    <row r="12">
      <c r="A12" s="348" t="inlineStr">
        <is>
          <t>Hawaii</t>
        </is>
      </c>
      <c r="B12" s="348" t="inlineStr">
        <is>
          <t>Pass</t>
        </is>
      </c>
      <c r="C12" s="348" t="inlineStr">
        <is>
          <t>No wording change needed.</t>
        </is>
      </c>
    </row>
    <row r="13">
      <c r="A13" s="348" t="inlineStr">
        <is>
          <t>Idaho</t>
        </is>
      </c>
      <c r="B13" s="348" t="inlineStr">
        <is>
          <t>Standardized</t>
        </is>
      </c>
      <c r="C13" s="348" t="inlineStr">
        <is>
          <t>Acknowledgment: 'Reasonably Promptly' -&gt; 'Reasonably Prompt'; Investigation: 'Prompt Investigation' -&gt; 'Prompt Investigation Required'</t>
        </is>
      </c>
    </row>
    <row r="14">
      <c r="A14" s="348" t="inlineStr">
        <is>
          <t>Illinois</t>
        </is>
      </c>
      <c r="B14" s="348" t="inlineStr">
        <is>
          <t>Standardized</t>
        </is>
      </c>
      <c r="C14" s="348" t="inlineStr">
        <is>
          <t>Acknowledgment: 'Not specified' -&gt; 'No Fixed Deadline Located'</t>
        </is>
      </c>
    </row>
    <row r="15">
      <c r="A15" s="348" t="inlineStr">
        <is>
          <t>Indiana</t>
        </is>
      </c>
      <c r="B15" s="348" t="inlineStr">
        <is>
          <t>Standardized</t>
        </is>
      </c>
      <c r="C15" s="348" t="inlineStr">
        <is>
          <t>Acknowledgment: 'Promptly' -&gt; 'Prompt Required'; Investigation: 'Not specified' -&gt; 'No Fixed Deadline Located'; Payment: 'Promptly' -&gt; 'Prompt Payment Required'</t>
        </is>
      </c>
    </row>
    <row r="16">
      <c r="A16" s="348" t="inlineStr">
        <is>
          <t>Iowa</t>
        </is>
      </c>
      <c r="B16" s="348" t="inlineStr">
        <is>
          <t>Pass</t>
        </is>
      </c>
      <c r="C16" s="348" t="inlineStr">
        <is>
          <t>No wording change needed.</t>
        </is>
      </c>
    </row>
    <row r="17">
      <c r="A17" s="348" t="inlineStr">
        <is>
          <t>Kansas</t>
        </is>
      </c>
      <c r="B17" s="348" t="inlineStr">
        <is>
          <t>Standardized</t>
        </is>
      </c>
      <c r="C17" s="348" t="inlineStr">
        <is>
          <t>Acknowledgment: 'Reasonably Promptly' -&gt; 'Reasonably Prompt'; Investigation: 'Prompt Investigation' -&gt; 'Prompt Investigation Required'</t>
        </is>
      </c>
    </row>
    <row r="18">
      <c r="A18" s="348" t="inlineStr">
        <is>
          <t>Kentucky</t>
        </is>
      </c>
      <c r="B18" s="348" t="inlineStr">
        <is>
          <t>Pass</t>
        </is>
      </c>
      <c r="C18" s="348" t="inlineStr">
        <is>
          <t>No wording change needed.</t>
        </is>
      </c>
    </row>
    <row r="19">
      <c r="A19" s="348" t="inlineStr">
        <is>
          <t>Louisiana</t>
        </is>
      </c>
      <c r="B19" s="348" t="inlineStr">
        <is>
          <t>Pass</t>
        </is>
      </c>
      <c r="C19" s="348" t="inlineStr">
        <is>
          <t>No wording change needed.</t>
        </is>
      </c>
    </row>
    <row r="20">
      <c r="A20" s="348" t="inlineStr">
        <is>
          <t>Maine</t>
        </is>
      </c>
      <c r="B20" s="348" t="inlineStr">
        <is>
          <t>Standardized</t>
        </is>
      </c>
      <c r="C20" s="348" t="inlineStr">
        <is>
          <t>Acknowledgment: 'Not specified' -&gt; 'No Fixed Deadline Located'; Investigation: 'Not specified' -&gt; 'No Fixed Deadline Located'</t>
        </is>
      </c>
    </row>
    <row r="21">
      <c r="A21" s="348" t="inlineStr">
        <is>
          <t>Maryland</t>
        </is>
      </c>
      <c r="B21" s="348" t="inlineStr">
        <is>
          <t>Pass</t>
        </is>
      </c>
      <c r="C21" s="348" t="inlineStr">
        <is>
          <t>No wording change needed.</t>
        </is>
      </c>
    </row>
    <row r="22">
      <c r="A22" s="348" t="inlineStr">
        <is>
          <t>Massachusetts</t>
        </is>
      </c>
      <c r="B22" s="348" t="inlineStr">
        <is>
          <t>Standardized</t>
        </is>
      </c>
      <c r="C22" s="348" t="inlineStr">
        <is>
          <t>Acknowledgment: 'Promptly' -&gt; 'Prompt Required'; Investigation: 'Promptly' -&gt; 'Prompt Required'</t>
        </is>
      </c>
    </row>
    <row r="23">
      <c r="A23" s="348" t="inlineStr">
        <is>
          <t>Michigan</t>
        </is>
      </c>
      <c r="B23" s="348" t="inlineStr">
        <is>
          <t>Pass</t>
        </is>
      </c>
      <c r="C23" s="348" t="inlineStr">
        <is>
          <t>No wording change needed.</t>
        </is>
      </c>
    </row>
    <row r="24">
      <c r="A24" s="348" t="inlineStr">
        <is>
          <t>Minnesota</t>
        </is>
      </c>
      <c r="B24" s="348" t="inlineStr">
        <is>
          <t>Pass</t>
        </is>
      </c>
      <c r="C24" s="348" t="inlineStr">
        <is>
          <t>No wording change needed.</t>
        </is>
      </c>
    </row>
    <row r="25">
      <c r="A25" s="348" t="inlineStr">
        <is>
          <t>Mississippi</t>
        </is>
      </c>
      <c r="B25" s="348" t="inlineStr">
        <is>
          <t>Pass</t>
        </is>
      </c>
      <c r="C25" s="348" t="inlineStr">
        <is>
          <t>No wording change needed.</t>
        </is>
      </c>
    </row>
    <row r="26">
      <c r="A26" s="348" t="inlineStr">
        <is>
          <t>Missouri</t>
        </is>
      </c>
      <c r="B26" s="348" t="inlineStr">
        <is>
          <t>Pass</t>
        </is>
      </c>
      <c r="C26" s="348" t="inlineStr">
        <is>
          <t>No wording change needed.</t>
        </is>
      </c>
    </row>
    <row r="27">
      <c r="A27" s="348" t="inlineStr">
        <is>
          <t>Montana</t>
        </is>
      </c>
      <c r="B27" s="348" t="inlineStr">
        <is>
          <t>Standardized</t>
        </is>
      </c>
      <c r="C27" s="348" t="inlineStr">
        <is>
          <t>Investigation: 'Prompt Investigation' -&gt; 'Prompt Investigation Required'</t>
        </is>
      </c>
    </row>
    <row r="28">
      <c r="A28" s="348" t="inlineStr">
        <is>
          <t>Nebraska</t>
        </is>
      </c>
      <c r="B28" s="348" t="inlineStr">
        <is>
          <t>Pass</t>
        </is>
      </c>
      <c r="C28" s="348" t="inlineStr">
        <is>
          <t>No wording change needed.</t>
        </is>
      </c>
    </row>
    <row r="29">
      <c r="A29" s="348" t="inlineStr">
        <is>
          <t>Nevada</t>
        </is>
      </c>
      <c r="B29" s="348" t="inlineStr">
        <is>
          <t>Pass</t>
        </is>
      </c>
      <c r="C29" s="348" t="inlineStr">
        <is>
          <t>No wording change needed.</t>
        </is>
      </c>
    </row>
    <row r="30">
      <c r="A30" s="348" t="inlineStr">
        <is>
          <t>New Hampshire</t>
        </is>
      </c>
      <c r="B30" s="348" t="inlineStr">
        <is>
          <t>Pass</t>
        </is>
      </c>
      <c r="C30" s="348" t="inlineStr">
        <is>
          <t>No wording change needed.</t>
        </is>
      </c>
    </row>
    <row r="31">
      <c r="A31" s="348" t="inlineStr">
        <is>
          <t>New Jersey</t>
        </is>
      </c>
      <c r="B31" s="348" t="inlineStr">
        <is>
          <t>Pass</t>
        </is>
      </c>
      <c r="C31" s="348" t="inlineStr">
        <is>
          <t>No wording change needed.</t>
        </is>
      </c>
    </row>
    <row r="32">
      <c r="A32" s="348" t="inlineStr">
        <is>
          <t>New Mexico</t>
        </is>
      </c>
      <c r="B32" s="348" t="inlineStr">
        <is>
          <t>Standardized</t>
        </is>
      </c>
      <c r="C32" s="348" t="inlineStr">
        <is>
          <t>Investigation: 'Prompt Investigation' -&gt; 'Prompt Investigation Required'</t>
        </is>
      </c>
    </row>
    <row r="33">
      <c r="A33" s="348" t="inlineStr">
        <is>
          <t>New York</t>
        </is>
      </c>
      <c r="B33" s="348" t="inlineStr">
        <is>
          <t>Pass</t>
        </is>
      </c>
      <c r="C33" s="348" t="inlineStr">
        <is>
          <t>No wording change needed.</t>
        </is>
      </c>
    </row>
    <row r="34">
      <c r="A34" s="348" t="inlineStr">
        <is>
          <t>North Carolina</t>
        </is>
      </c>
      <c r="B34" s="348" t="inlineStr">
        <is>
          <t>Standardized</t>
        </is>
      </c>
      <c r="C34" s="348" t="inlineStr">
        <is>
          <t>Acknowledgment: 'Reasonably Promptly' -&gt; 'Reasonably Prompt'; Investigation: 'Prompt Investigation' -&gt; 'Prompt Investigation Required'</t>
        </is>
      </c>
    </row>
    <row r="35">
      <c r="A35" s="348" t="inlineStr">
        <is>
          <t>North Dakota</t>
        </is>
      </c>
      <c r="B35" s="348" t="inlineStr">
        <is>
          <t>Standardized</t>
        </is>
      </c>
      <c r="C35" s="348" t="inlineStr">
        <is>
          <t>Investigation: 'Prompt Investigation' -&gt; 'Prompt Investigation Required'</t>
        </is>
      </c>
    </row>
    <row r="36">
      <c r="A36" s="348" t="inlineStr">
        <is>
          <t>Ohio</t>
        </is>
      </c>
      <c r="B36" s="348" t="inlineStr">
        <is>
          <t>Pass</t>
        </is>
      </c>
      <c r="C36" s="348" t="inlineStr">
        <is>
          <t>No wording change needed.</t>
        </is>
      </c>
    </row>
    <row r="37">
      <c r="A37" s="348" t="inlineStr">
        <is>
          <t>Oklahoma</t>
        </is>
      </c>
      <c r="B37" s="348" t="inlineStr">
        <is>
          <t>Pass</t>
        </is>
      </c>
      <c r="C37" s="348" t="inlineStr">
        <is>
          <t>No wording change needed.</t>
        </is>
      </c>
    </row>
    <row r="38">
      <c r="A38" s="348" t="inlineStr">
        <is>
          <t>Oregon</t>
        </is>
      </c>
      <c r="B38" s="348" t="inlineStr">
        <is>
          <t>Pass</t>
        </is>
      </c>
      <c r="C38" s="348" t="inlineStr">
        <is>
          <t>No wording change needed.</t>
        </is>
      </c>
    </row>
    <row r="39">
      <c r="A39" s="348" t="inlineStr">
        <is>
          <t>Pennsylvania</t>
        </is>
      </c>
      <c r="B39" s="348" t="inlineStr">
        <is>
          <t>Pass</t>
        </is>
      </c>
      <c r="C39" s="348" t="inlineStr">
        <is>
          <t>No wording change needed.</t>
        </is>
      </c>
    </row>
    <row r="40">
      <c r="A40" s="348" t="inlineStr">
        <is>
          <t>Rhode Island</t>
        </is>
      </c>
      <c r="B40" s="348" t="inlineStr">
        <is>
          <t>Pass</t>
        </is>
      </c>
      <c r="C40" s="348" t="inlineStr">
        <is>
          <t>No wording change needed.</t>
        </is>
      </c>
    </row>
    <row r="41">
      <c r="A41" s="348" t="inlineStr">
        <is>
          <t>South Carolina</t>
        </is>
      </c>
      <c r="B41" s="348" t="inlineStr">
        <is>
          <t>Standardized</t>
        </is>
      </c>
      <c r="C41" s="348" t="inlineStr">
        <is>
          <t>Acknowledgment: 'Reasonable Promptness' -&gt; 'Reasonably Prompt'; Investigation: 'Prompt Investigation' -&gt; 'Prompt Investigation Required'</t>
        </is>
      </c>
    </row>
    <row r="42">
      <c r="A42" s="348" t="inlineStr">
        <is>
          <t>South Dakota</t>
        </is>
      </c>
      <c r="B42" s="348" t="inlineStr">
        <is>
          <t>Standardized</t>
        </is>
      </c>
      <c r="C42" s="348" t="inlineStr">
        <is>
          <t>Investigation: 'Prompt Investigation' -&gt; 'Prompt Investigation Required'</t>
        </is>
      </c>
    </row>
    <row r="43">
      <c r="A43" s="348" t="inlineStr">
        <is>
          <t>Tennessee</t>
        </is>
      </c>
      <c r="B43" s="348" t="inlineStr">
        <is>
          <t>Pass</t>
        </is>
      </c>
      <c r="C43" s="348" t="inlineStr">
        <is>
          <t>No wording change needed.</t>
        </is>
      </c>
    </row>
    <row r="44">
      <c r="A44" s="348" t="inlineStr">
        <is>
          <t>Texas</t>
        </is>
      </c>
      <c r="B44" s="348" t="inlineStr">
        <is>
          <t>Pass</t>
        </is>
      </c>
      <c r="C44" s="348" t="inlineStr">
        <is>
          <t>No wording change needed.</t>
        </is>
      </c>
    </row>
    <row r="45">
      <c r="A45" s="348" t="inlineStr">
        <is>
          <t>Utah</t>
        </is>
      </c>
      <c r="B45" s="348" t="inlineStr">
        <is>
          <t>Pass</t>
        </is>
      </c>
      <c r="C45" s="348" t="inlineStr">
        <is>
          <t>No wording change needed.</t>
        </is>
      </c>
    </row>
    <row r="46">
      <c r="A46" s="348" t="inlineStr">
        <is>
          <t>Vermont</t>
        </is>
      </c>
      <c r="B46" s="348" t="inlineStr">
        <is>
          <t>Pass</t>
        </is>
      </c>
      <c r="C46" s="348" t="inlineStr">
        <is>
          <t>No wording change needed.</t>
        </is>
      </c>
    </row>
    <row r="47">
      <c r="A47" s="348" t="inlineStr">
        <is>
          <t>Virginia</t>
        </is>
      </c>
      <c r="B47" s="348" t="inlineStr">
        <is>
          <t>Pass</t>
        </is>
      </c>
      <c r="C47" s="348" t="inlineStr">
        <is>
          <t>No wording change needed.</t>
        </is>
      </c>
    </row>
    <row r="48">
      <c r="A48" s="348" t="inlineStr">
        <is>
          <t>Washington</t>
        </is>
      </c>
      <c r="B48" s="348" t="inlineStr">
        <is>
          <t>Pass</t>
        </is>
      </c>
      <c r="C48" s="348" t="inlineStr">
        <is>
          <t>No wording change needed.</t>
        </is>
      </c>
    </row>
    <row r="49">
      <c r="A49" s="348" t="inlineStr">
        <is>
          <t>West Virginia</t>
        </is>
      </c>
      <c r="B49" s="348" t="inlineStr">
        <is>
          <t>Pass</t>
        </is>
      </c>
      <c r="C49" s="348" t="inlineStr">
        <is>
          <t>No wording change needed.</t>
        </is>
      </c>
    </row>
    <row r="50">
      <c r="A50" s="348" t="inlineStr">
        <is>
          <t>Wisconsin</t>
        </is>
      </c>
      <c r="B50" s="348" t="inlineStr">
        <is>
          <t>Pass</t>
        </is>
      </c>
      <c r="C50" s="348" t="inlineStr">
        <is>
          <t>No wording change needed.</t>
        </is>
      </c>
    </row>
    <row r="51">
      <c r="A51" s="348" t="inlineStr">
        <is>
          <t>Wyoming</t>
        </is>
      </c>
      <c r="B51" s="348" t="inlineStr">
        <is>
          <t>Standardized</t>
        </is>
      </c>
      <c r="C51" s="348" t="inlineStr">
        <is>
          <t>Acknowledgment: 'Reasonably Promptly' -&gt; 'Reasonably Prompt'; Investigation: 'Prompt Investigation' -&gt; 'Prompt Investigation Required'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style="355" min="1" max="1"/>
    <col width="45" customWidth="1" style="355" min="2" max="2"/>
  </cols>
  <sheetData>
    <row r="1">
      <c r="A1" s="425" t="inlineStr">
        <is>
          <t>Metric</t>
        </is>
      </c>
      <c r="B1" s="425" t="inlineStr">
        <is>
          <t>Value</t>
        </is>
      </c>
    </row>
    <row r="2">
      <c r="A2" s="348" t="inlineStr">
        <is>
          <t>Phase</t>
        </is>
      </c>
      <c r="B2" s="348" t="inlineStr">
        <is>
          <t>C7 National Consistency Review</t>
        </is>
      </c>
    </row>
    <row r="3">
      <c r="A3" s="348" t="inlineStr">
        <is>
          <t>States reviewed</t>
        </is>
      </c>
      <c r="B3" s="348" t="n">
        <v>50</v>
      </c>
    </row>
    <row r="4">
      <c r="A4" s="348" t="inlineStr">
        <is>
          <t>States with wording standardized</t>
        </is>
      </c>
      <c r="B4" s="348" t="n">
        <v>14</v>
      </c>
    </row>
    <row r="5">
      <c r="A5" s="348" t="inlineStr">
        <is>
          <t>States unchanged</t>
        </is>
      </c>
      <c r="B5" s="348" t="n">
        <v>36</v>
      </c>
    </row>
    <row r="6">
      <c r="A6" s="348" t="inlineStr">
        <is>
          <t>Authority conflicts introduced</t>
        </is>
      </c>
      <c r="B6" s="348" t="n">
        <v>0</v>
      </c>
    </row>
    <row r="7">
      <c r="A7" s="348" t="inlineStr">
        <is>
          <t>Source hierarchy changed</t>
        </is>
      </c>
      <c r="B7" s="348" t="inlineStr">
        <is>
          <t>No</t>
        </is>
      </c>
    </row>
    <row r="8">
      <c r="A8" s="348" t="inlineStr">
        <is>
          <t>Primary Claims_Deadlines data overwritten</t>
        </is>
      </c>
      <c r="B8" s="348" t="inlineStr">
        <is>
          <t>No; normalized import sheet added</t>
        </is>
      </c>
    </row>
    <row r="9">
      <c r="A9" s="348" t="inlineStr">
        <is>
          <t>Next recommended phase</t>
        </is>
      </c>
      <c r="B9" s="348" t="inlineStr">
        <is>
          <t>C8 website integration preparation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22" customWidth="1" style="355" min="2" max="2"/>
    <col width="22" customWidth="1" style="355" min="3" max="3"/>
    <col width="22" customWidth="1" style="355" min="4" max="4"/>
    <col width="48" customWidth="1" style="355" min="5" max="5"/>
    <col width="42" customWidth="1" style="355" min="6" max="6"/>
    <col width="55" customWidth="1" style="355" min="7" max="7"/>
  </cols>
  <sheetData>
    <row r="1">
      <c r="A1" s="430" t="inlineStr">
        <is>
          <t>State</t>
        </is>
      </c>
      <c r="B1" s="430" t="inlineStr">
        <is>
          <t>Ack Deadline</t>
        </is>
      </c>
      <c r="C1" s="430" t="inlineStr">
        <is>
          <t>Investigation Deadline</t>
        </is>
      </c>
      <c r="D1" s="430" t="inlineStr">
        <is>
          <t>Payment Deadline</t>
        </is>
      </c>
      <c r="E1" s="430" t="inlineStr">
        <is>
          <t>Notes</t>
        </is>
      </c>
      <c r="F1" s="430" t="inlineStr">
        <is>
          <t>Citation</t>
        </is>
      </c>
      <c r="G1" s="430" t="inlineStr">
        <is>
          <t>URL</t>
        </is>
      </c>
    </row>
    <row r="2">
      <c r="A2" s="348" t="inlineStr">
        <is>
          <t>Alabama</t>
        </is>
      </c>
      <c r="B2" s="348" t="inlineStr">
        <is>
          <t>15 days</t>
        </is>
      </c>
      <c r="C2" s="348" t="inlineStr">
        <is>
          <t>30 days / 45-day updates</t>
        </is>
      </c>
      <c r="D2" s="348" t="inlineStr">
        <is>
          <t>30 days after agreement</t>
        </is>
      </c>
      <c r="E2" s="348" t="inlineStr">
        <is>
          <t>P&amp;C: respond within 15 days; status within 30 days; 45-day updates; pay within 30 days after liability agreement.</t>
        </is>
      </c>
      <c r="F2" s="348" t="inlineStr">
        <is>
          <t>Ala. Admin. Code r. 482-1-125-.01 to .11; r. 482-1-124-.01 to .07</t>
        </is>
      </c>
      <c r="G2" s="348" t="inlineStr">
        <is>
          <t>https://www.alabamaadministrativecode.state.al.us</t>
        </is>
      </c>
    </row>
    <row r="3">
      <c r="A3" s="348" t="inlineStr">
        <is>
          <t>Alaska</t>
        </is>
      </c>
      <c r="B3" s="348" t="inlineStr">
        <is>
          <t>10 working days</t>
        </is>
      </c>
      <c r="C3" s="348" t="inlineStr">
        <is>
          <t>15 working days / 45-day updates</t>
        </is>
      </c>
      <c r="D3" s="348" t="inlineStr">
        <is>
          <t>30 working days</t>
        </is>
      </c>
      <c r="E3" s="348" t="inlineStr">
        <is>
          <t>Insurer must acknowledge within 10 working days and accept or deny first-party claims within 15 working days after proof.</t>
        </is>
      </c>
      <c r="F3" s="348" t="inlineStr">
        <is>
          <t>3 AAC 26.040 to 26.070</t>
        </is>
      </c>
      <c r="G3" s="348" t="inlineStr">
        <is>
          <t>https://www.akleg.gov/basis/aac.asp</t>
        </is>
      </c>
    </row>
    <row r="4">
      <c r="A4" s="348" t="inlineStr">
        <is>
          <t>Arizona</t>
        </is>
      </c>
      <c r="B4" s="348" t="inlineStr">
        <is>
          <t>10 working days</t>
        </is>
      </c>
      <c r="C4" s="348" t="inlineStr">
        <is>
          <t>30 days / 45-day updates</t>
        </is>
      </c>
      <c r="D4" s="348" t="inlineStr">
        <is>
          <t>30 days</t>
        </is>
      </c>
      <c r="E4" s="348" t="inlineStr">
        <is>
          <t>Investigation should be completed within 30 days unless more time is reasonably needed; delay notices required.</t>
        </is>
      </c>
      <c r="F4" s="348" t="inlineStr">
        <is>
          <t>A.R.S. § 20-462; Ariz. Admin. Code R20-6-801</t>
        </is>
      </c>
      <c r="G4" s="348" t="inlineStr">
        <is>
          <t>https://apps.azsos.gov/public_services/Title_20/20-06.pdf</t>
        </is>
      </c>
    </row>
    <row r="5">
      <c r="A5" s="348" t="inlineStr">
        <is>
          <t>Arkansas</t>
        </is>
      </c>
      <c r="B5" s="348" t="inlineStr">
        <is>
          <t>15 working days</t>
        </is>
      </c>
      <c r="C5" s="348" t="inlineStr">
        <is>
          <t>45 days / 45-day updates</t>
        </is>
      </c>
      <c r="D5" s="348" t="inlineStr">
        <is>
          <t>15 working days after acceptance/denial</t>
        </is>
      </c>
      <c r="E5" s="348" t="inlineStr">
        <is>
          <t>Insurer must acknowledge within 15 working days and complete investigation within 45 days or explain delay.</t>
        </is>
      </c>
      <c r="F5" s="348" t="inlineStr">
        <is>
          <t>Ark. Ins. Rule 43; Ark. Code Ann. § 23-66-215</t>
        </is>
      </c>
      <c r="G5" s="348" t="inlineStr">
        <is>
          <t>https://codeofarrules.arkansas.gov/Rules/Rule?chapterID=39&amp;levelType=section&amp;partID=615&amp;sectionID=27084&amp;subChapterID=187&amp;subPartID=4304&amp;titleID=23</t>
        </is>
      </c>
    </row>
    <row r="6">
      <c r="A6" s="348" t="inlineStr">
        <is>
          <t>California</t>
        </is>
      </c>
      <c r="B6" s="348" t="inlineStr">
        <is>
          <t>15 days</t>
        </is>
      </c>
      <c r="C6" s="348" t="inlineStr">
        <is>
          <t>40 days / 30-day updates</t>
        </is>
      </c>
      <c r="D6" s="348" t="inlineStr">
        <is>
          <t>30 days after acceptance</t>
        </is>
      </c>
      <c r="E6" s="348" t="inlineStr">
        <is>
          <t>Insurer must acknowledge communications within 15 days and accept or deny within 40 days after proof of claim.</t>
        </is>
      </c>
      <c r="F6" s="348" t="inlineStr">
        <is>
          <t>10 Cal. Code Regs. §§ 2695.1 to 2695.14</t>
        </is>
      </c>
      <c r="G6" s="348" t="inlineStr">
        <is>
          <t>https://www.insurance.ca.gov/01-consumers/130-laws-regs-hearings/05-CCR/fair-claims-regs.cfm</t>
        </is>
      </c>
    </row>
    <row r="7">
      <c r="A7" s="348" t="inlineStr">
        <is>
          <t>Colorado</t>
        </is>
      </c>
      <c r="B7" s="348" t="inlineStr">
        <is>
          <t>Promptly / 15 days for forms</t>
        </is>
      </c>
      <c r="C7" s="348" t="inlineStr">
        <is>
          <t>90 days / 180 days unusual circumstances</t>
        </is>
      </c>
      <c r="D7" s="348" t="inlineStr">
        <is>
          <t>60 days after valid claim</t>
        </is>
      </c>
      <c r="E7" s="348" t="inlineStr">
        <is>
          <t>First-party P&amp;C valid claims generally must be paid within 60 days; delay notices continue every 30 days.</t>
        </is>
      </c>
      <c r="F7" s="348" t="inlineStr">
        <is>
          <t>Colo. Rev. Stat. § 10-3-1104; 3 CCR 702-5:5-1-14</t>
        </is>
      </c>
      <c r="G7" s="348" t="inlineStr">
        <is>
          <t>https://doi.colorado.gov/for-consumers/file-a-complaint/consumer-resources/laws-regulations-bulletins</t>
        </is>
      </c>
    </row>
    <row r="8">
      <c r="A8" s="348" t="inlineStr">
        <is>
          <t>Connecticut</t>
        </is>
      </c>
      <c r="B8" s="348" t="inlineStr">
        <is>
          <t>Reasonably promptly</t>
        </is>
      </c>
      <c r="C8" s="348" t="inlineStr">
        <is>
          <t>No Fixed Deadline Located</t>
        </is>
      </c>
      <c r="D8" s="348" t="inlineStr">
        <is>
          <t>Prompt Payment Required</t>
        </is>
      </c>
      <c r="E8" s="348" t="inlineStr">
        <is>
          <t>General unfair-claims statute uses prompt/reasonable promptness language rather than fixed P&amp;C day counts.</t>
        </is>
      </c>
      <c r="F8" s="348" t="inlineStr">
        <is>
          <t>Conn. Gen. Stat. § 38a-816; § 38a-452</t>
        </is>
      </c>
      <c r="G8" s="348" t="inlineStr">
        <is>
          <t>https://www.cga.ct.gov/current/pub/chap_704.htm</t>
        </is>
      </c>
    </row>
    <row r="9">
      <c r="A9" s="348" t="inlineStr">
        <is>
          <t>Delaware</t>
        </is>
      </c>
      <c r="B9" s="348" t="inlineStr">
        <is>
          <t>15 working days</t>
        </is>
      </c>
      <c r="C9" s="348" t="inlineStr">
        <is>
          <t>10 working days to begin</t>
        </is>
      </c>
      <c r="D9" s="348" t="inlineStr">
        <is>
          <t>30 days after agreement</t>
        </is>
      </c>
      <c r="E9" s="348" t="inlineStr">
        <is>
          <t>Prompt payment is defined as within 30 days after agreement; investigation must begin within 10 working days.</t>
        </is>
      </c>
      <c r="F9" s="348" t="inlineStr">
        <is>
          <t>18 Del. Admin. Code 902 and 903</t>
        </is>
      </c>
      <c r="G9" s="348" t="inlineStr">
        <is>
          <t>https://regulations.delaware.gov/AdminCode/title18/900/</t>
        </is>
      </c>
    </row>
    <row r="10">
      <c r="A10" s="348" t="inlineStr">
        <is>
          <t>Florida</t>
        </is>
      </c>
      <c r="B10" s="348" t="inlineStr">
        <is>
          <t>14 days / 15 days health non-electronic</t>
        </is>
      </c>
      <c r="C10" s="348" t="inlineStr">
        <is>
          <t>60 days property / 90 days health determination</t>
        </is>
      </c>
      <c r="D10" s="348" t="inlineStr">
        <is>
          <t>20 days after settlement agreement / 60 days property</t>
        </is>
      </c>
      <c r="E10" s="348" t="inlineStr">
        <is>
          <t>Property claims generally require acknowledgment and payment/denial within statutory timeframes; settlement payments due within 20 days.</t>
        </is>
      </c>
      <c r="F10" s="348" t="inlineStr">
        <is>
          <t>Fla. Stat. §§ 626.9541, 627.4265, 627.70131</t>
        </is>
      </c>
      <c r="G10" s="348" t="inlineStr">
        <is>
          <t>https://www.leg.state.fl.us/Statutes/index.cfm?App_mode=Display_Statute&amp;URL=0600-0699/0626/Sections/0626.9541.html</t>
        </is>
      </c>
    </row>
    <row r="11">
      <c r="A11" s="348" t="inlineStr">
        <is>
          <t>Georgia</t>
        </is>
      </c>
      <c r="B11" s="348" t="inlineStr">
        <is>
          <t>15 days</t>
        </is>
      </c>
      <c r="C11" s="348" t="inlineStr">
        <is>
          <t>30 days / 60 days maximum</t>
        </is>
      </c>
      <c r="D11" s="348" t="inlineStr">
        <is>
          <t>10 days after coverage confirmed</t>
        </is>
      </c>
      <c r="E11" s="348" t="inlineStr">
        <is>
          <t>Private passenger auto first-party property claims have specific acknowledgment, coverage, and payment timing rules.</t>
        </is>
      </c>
      <c r="F11" s="348" t="inlineStr">
        <is>
          <t>Ga. Comp. R. &amp; Regs. 120-2-52-.01 to .03</t>
        </is>
      </c>
      <c r="G11" s="348" t="inlineStr">
        <is>
          <t>https://rules.sos.ga.gov/gac/120-2-52</t>
        </is>
      </c>
    </row>
    <row r="12">
      <c r="A12" s="348" t="inlineStr">
        <is>
          <t>Hawaii</t>
        </is>
      </c>
      <c r="B12" s="348" t="inlineStr">
        <is>
          <t>15 working days</t>
        </is>
      </c>
      <c r="C12" s="348" t="inlineStr">
        <is>
          <t>30-day unresolved-delay explanation</t>
        </is>
      </c>
      <c r="D12" s="348" t="inlineStr">
        <is>
          <t>30 days if amount determined and undisputed</t>
        </is>
      </c>
      <c r="E12" s="348" t="inlineStr">
        <is>
          <t>Claims communications must be handled with reasonable promptness, generally no more than 15 working days.</t>
        </is>
      </c>
      <c r="F12" s="348" t="inlineStr">
        <is>
          <t>Haw. Rev. Stat. § 431:13-103</t>
        </is>
      </c>
      <c r="G12" s="348" t="inlineStr">
        <is>
          <t>https://www.capitol.hawaii.gov/hrscurrent/Vol09_Ch0431-0435H/HRS0431/HRS_0431-0013-0103.htm</t>
        </is>
      </c>
    </row>
    <row r="13">
      <c r="A13" s="348" t="inlineStr">
        <is>
          <t>Idaho</t>
        </is>
      </c>
      <c r="B13" s="348" t="inlineStr">
        <is>
          <t>Reasonably Prompt</t>
        </is>
      </c>
      <c r="C13" s="348" t="inlineStr">
        <is>
          <t>Prompt Investigation Required</t>
        </is>
      </c>
      <c r="D13" s="348" t="inlineStr">
        <is>
          <t>Reasonable Time after completed proof of loss / Prompt Payment Required</t>
        </is>
      </c>
      <c r="E13" s="348" t="inlineStr">
        <is>
          <t>Idaho general unfair-claims law uses reasonably prompt/prompt/reasonable-time standards; fixed day counts are line-specific and not used as general auto deadlines.</t>
        </is>
      </c>
      <c r="F13" s="348" t="inlineStr">
        <is>
          <t>Idaho Code § 41-1329(2)-(6), (14)</t>
        </is>
      </c>
      <c r="G13" s="348" t="inlineStr">
        <is>
          <t>https://legislature.idaho.gov/statutesrules/idstat/Title41/T41CH13/SECT41-1329/</t>
        </is>
      </c>
    </row>
    <row r="14">
      <c r="A14" s="348" t="inlineStr">
        <is>
          <t>Illinois</t>
        </is>
      </c>
      <c r="B14" s="348" t="inlineStr">
        <is>
          <t>No Fixed Deadline Located</t>
        </is>
      </c>
      <c r="C14" s="348" t="inlineStr">
        <is>
          <t>40/60 days auto median periods; 45-day explanation</t>
        </is>
      </c>
      <c r="D14" s="348" t="inlineStr">
        <is>
          <t>30 days after liability affirmed</t>
        </is>
      </c>
      <c r="E14" s="348" t="inlineStr">
        <is>
          <t>Insurer must pay within 30 days after affirming liability; delayed claims require written explanations.</t>
        </is>
      </c>
      <c r="F14" s="348" t="inlineStr">
        <is>
          <t>50 Ill. Adm. Code 919.50, 919.70, 919.80</t>
        </is>
      </c>
      <c r="G14" s="348" t="inlineStr">
        <is>
          <t>https://www.ilga.gov/commission/jcar/admincode/050/05000919sections.html</t>
        </is>
      </c>
    </row>
    <row r="15">
      <c r="A15" s="348" t="inlineStr">
        <is>
          <t>Indiana</t>
        </is>
      </c>
      <c r="B15" s="348" t="inlineStr">
        <is>
          <t>Prompt Required</t>
        </is>
      </c>
      <c r="C15" s="348" t="inlineStr">
        <is>
          <t>No Fixed Deadline Located</t>
        </is>
      </c>
      <c r="D15" s="348" t="inlineStr">
        <is>
          <t>Prompt Payment Required</t>
        </is>
      </c>
      <c r="E15" s="348" t="inlineStr">
        <is>
          <t>Indiana’s unfair-claim statute uses prompt-claim language rather than fixed general day counts.</t>
        </is>
      </c>
      <c r="F15" s="348" t="inlineStr">
        <is>
          <t>Ind. Code § 27-4-1-4.5</t>
        </is>
      </c>
      <c r="G15" s="348" t="inlineStr">
        <is>
          <t>https://iga.in.gov/laws/2025/ic/titles/27#27-4-1-4.5</t>
        </is>
      </c>
    </row>
    <row r="16">
      <c r="A16" s="348" t="inlineStr">
        <is>
          <t>Iowa</t>
        </is>
      </c>
      <c r="B16" s="348" t="inlineStr">
        <is>
          <t>15 days</t>
        </is>
      </c>
      <c r="C16" s="348" t="inlineStr">
        <is>
          <t>30 days / 45-day updates</t>
        </is>
      </c>
      <c r="D16" s="348" t="inlineStr">
        <is>
          <t>30 days after liability affirmed</t>
        </is>
      </c>
      <c r="E16" s="348" t="inlineStr">
        <is>
          <t>P&amp;C claims require acknowledgment within 15 days, decision within 30 days, and 45-day status updates when unresolved.</t>
        </is>
      </c>
      <c r="F16" s="348" t="inlineStr">
        <is>
          <t>Iowa Admin. Code r. 191-15.41 to 15.42</t>
        </is>
      </c>
      <c r="G16" s="348" t="inlineStr">
        <is>
          <t>https://www.legis.iowa.gov/law/administrativeRules/rules?agency=191</t>
        </is>
      </c>
    </row>
    <row r="17">
      <c r="A17" s="348" t="inlineStr">
        <is>
          <t>Kansas</t>
        </is>
      </c>
      <c r="B17" s="348" t="inlineStr">
        <is>
          <t>Reasonably Prompt</t>
        </is>
      </c>
      <c r="C17" s="348" t="inlineStr">
        <is>
          <t>Prompt Investigation Required</t>
        </is>
      </c>
      <c r="D17" s="348" t="inlineStr">
        <is>
          <t>30 calendar days after agreed amount / Prompt Payment Required</t>
        </is>
      </c>
      <c r="E17" s="348" t="inlineStr">
        <is>
          <t>Kansas general unfair-claims law uses reasonably prompt/prompt/reasonable-time standards; settlement-payment interest applies 30 calendar days after amount is agreed.</t>
        </is>
      </c>
      <c r="F17" s="348" t="inlineStr">
        <is>
          <t>K.S.A. 40-2404(9)(b)-(f), (n); K.S.A. 40-2,126; K.A.R. 40-1-34</t>
        </is>
      </c>
      <c r="G17" s="348" t="inlineStr">
        <is>
          <t>https://ksrevisor.gov/statutes/chapters/ch40/040_024_0004.html; https://ksrevisor.gov/statutes/chapters/ch40/040_002_0126.html</t>
        </is>
      </c>
    </row>
    <row r="18">
      <c r="A18" s="348" t="inlineStr">
        <is>
          <t>Kentucky</t>
        </is>
      </c>
      <c r="B18" s="348" t="inlineStr">
        <is>
          <t>15 days</t>
        </is>
      </c>
      <c r="C18" s="348" t="inlineStr">
        <is>
          <t>30 days / 45-day updates</t>
        </is>
      </c>
      <c r="D18" s="348" t="inlineStr">
        <is>
          <t>30 days after liability affirmed</t>
        </is>
      </c>
      <c r="E18" s="348" t="inlineStr">
        <is>
          <t>P&amp;C claims require acknowledgment/forms within 15 days, decision within 30 days, and 45-day delay updates.</t>
        </is>
      </c>
      <c r="F18" s="348" t="inlineStr">
        <is>
          <t>806 KAR 12:095; Ky. Rev. Stat. § 304.12-235</t>
        </is>
      </c>
      <c r="G18" s="348" t="inlineStr">
        <is>
          <t>https://apps.legislature.ky.gov/law/kar/titles/806/012/095/</t>
        </is>
      </c>
    </row>
    <row r="19">
      <c r="A19" s="348" t="inlineStr">
        <is>
          <t>Louisiana</t>
        </is>
      </c>
      <c r="B19" s="348" t="inlineStr">
        <is>
          <t>14 days to initiate claim</t>
        </is>
      </c>
      <c r="C19" s="348" t="inlineStr">
        <is>
          <t>30 days to offer settlement</t>
        </is>
      </c>
      <c r="D19" s="348" t="inlineStr">
        <is>
          <t>30 days</t>
        </is>
      </c>
      <c r="E19" s="348" t="inlineStr">
        <is>
          <t>Property/casualty insurers must initiate adjustment within 14 days and timely pay after proof or settlement obligations arise.</t>
        </is>
      </c>
      <c r="F19" s="348" t="inlineStr">
        <is>
          <t>La. Rev. Stat. §§ 22:1892, 22:1811, 22:1821</t>
        </is>
      </c>
      <c r="G19" s="348" t="inlineStr">
        <is>
          <t>https://legis.la.gov/legis/Law.aspx?d=507316</t>
        </is>
      </c>
    </row>
    <row r="20">
      <c r="A20" s="348" t="inlineStr">
        <is>
          <t>Maine</t>
        </is>
      </c>
      <c r="B20" s="348" t="inlineStr">
        <is>
          <t>No Fixed Deadline Located</t>
        </is>
      </c>
      <c r="C20" s="348" t="inlineStr">
        <is>
          <t>No Fixed Deadline Located</t>
        </is>
      </c>
      <c r="D20" s="348" t="inlineStr">
        <is>
          <t>30 days; 60 days fire; 2 months life</t>
        </is>
      </c>
      <c r="E20" s="348" t="inlineStr">
        <is>
          <t>Maine provides line-specific late-payment rules rather than a broad acknowledgment/investigation deadline.</t>
        </is>
      </c>
      <c r="F20" s="348" t="inlineStr">
        <is>
          <t>24-A M.R.S. §§ 2436, 3002, 2513</t>
        </is>
      </c>
      <c r="G20" s="348" t="inlineStr">
        <is>
          <t>https://legislature.maine.gov/statutes/24-A/title24-Asec2436.html</t>
        </is>
      </c>
    </row>
    <row r="21">
      <c r="A21" s="348" t="inlineStr">
        <is>
          <t>Maryland</t>
        </is>
      </c>
      <c r="B21" s="348" t="inlineStr">
        <is>
          <t>15 working days</t>
        </is>
      </c>
      <c r="C21" s="348" t="inlineStr">
        <is>
          <t>15 working days to affirm/deny P&amp;C</t>
        </is>
      </c>
      <c r="D21" s="348" t="inlineStr">
        <is>
          <t>30 days for PIP/health; 15 working days P&amp;C coverage decision</t>
        </is>
      </c>
      <c r="E21" s="348" t="inlineStr">
        <is>
          <t>P&amp;C claims generally require acknowledgment and coverage decision within 15 working days.</t>
        </is>
      </c>
      <c r="F21" s="348" t="inlineStr">
        <is>
          <t>COMAR 31.15.07.03; COMAR 31.15.08.03; Md. Code Ins. § 19-508</t>
        </is>
      </c>
      <c r="G21" s="348" t="inlineStr">
        <is>
          <t>https://dsd.maryland.gov/regulations/Pages/31.15.07.03.aspx</t>
        </is>
      </c>
    </row>
    <row r="22">
      <c r="A22" s="348" t="inlineStr">
        <is>
          <t>Massachusetts</t>
        </is>
      </c>
      <c r="B22" s="348" t="inlineStr">
        <is>
          <t>Prompt Required</t>
        </is>
      </c>
      <c r="C22" s="348" t="inlineStr">
        <is>
          <t>Prompt Required</t>
        </is>
      </c>
      <c r="D22" s="348" t="inlineStr">
        <is>
          <t>Promptly / 30 days life</t>
        </is>
      </c>
      <c r="E22" s="348" t="inlineStr">
        <is>
          <t>Massachusetts uses prompt-claim standards in its unfair-claims statute; some lines have specific payment rules.</t>
        </is>
      </c>
      <c r="F22" s="348" t="inlineStr">
        <is>
          <t>Mass. Gen. Laws ch. 176D, § 3(9); ch. 175, § 119C</t>
        </is>
      </c>
      <c r="G22" s="348" t="inlineStr">
        <is>
          <t>https://malegislature.gov/Laws/GeneralLaws/PartI/TitleXXII/Chapter176D/Section3</t>
        </is>
      </c>
    </row>
    <row r="23">
      <c r="A23" s="348" t="inlineStr">
        <is>
          <t>Michigan</t>
        </is>
      </c>
      <c r="B23" s="348" t="inlineStr">
        <is>
          <t>30 days for needed proof information</t>
        </is>
      </c>
      <c r="C23" s="348" t="inlineStr">
        <is>
          <t>30 days deficiency notice for health</t>
        </is>
      </c>
      <c r="D23" s="348" t="inlineStr">
        <is>
          <t>60 days after proof of loss</t>
        </is>
      </c>
      <c r="E23" s="348" t="inlineStr">
        <is>
          <t>Insurer must identify needed proof within 30 days unless paid; overdue benefits accrue interest after statutory deadlines.</t>
        </is>
      </c>
      <c r="F23" s="348" t="inlineStr">
        <is>
          <t>Mich. Comp. Laws § 500.2006</t>
        </is>
      </c>
      <c r="G23" s="348" t="inlineStr">
        <is>
          <t>https://www.legislature.mi.gov/Laws/MCL?objectName=mcl-500-2006</t>
        </is>
      </c>
    </row>
    <row r="24">
      <c r="A24" s="348" t="inlineStr">
        <is>
          <t>Minnesota</t>
        </is>
      </c>
      <c r="B24" s="348" t="inlineStr">
        <is>
          <t>10 business days</t>
        </is>
      </c>
      <c r="C24" s="348" t="inlineStr">
        <is>
          <t>60 days to accept/deny</t>
        </is>
      </c>
      <c r="D24" s="348" t="inlineStr">
        <is>
          <t>30 business days</t>
        </is>
      </c>
      <c r="E24" s="348" t="inlineStr">
        <is>
          <t>Insurers must acknowledge within 10 business days and notify acceptance or denial within 60 days.</t>
        </is>
      </c>
      <c r="F24" s="348" t="inlineStr">
        <is>
          <t>Minn. Stat. § 72A.201, subd. 4; § 62Q.75</t>
        </is>
      </c>
      <c r="G24" s="348" t="inlineStr">
        <is>
          <t>https://www.revisor.mn.gov/statutes/cite/72A.201</t>
        </is>
      </c>
    </row>
    <row r="25">
      <c r="A25" s="348" t="inlineStr">
        <is>
          <t>Mississippi</t>
        </is>
      </c>
      <c r="B25" s="348" t="inlineStr">
        <is>
          <t>No Fixed General Auto/P&amp;C Deadline Located</t>
        </is>
      </c>
      <c r="C25" s="348" t="inlineStr">
        <is>
          <t>No Fixed General Auto/P&amp;C Deadline Located</t>
        </is>
      </c>
      <c r="D25" s="348" t="inlineStr">
        <is>
          <t>No Fixed General Auto/P&amp;C Deadline Located</t>
        </is>
      </c>
      <c r="E25" s="348" t="inlineStr">
        <is>
          <t>No broad Mississippi statutory/regulatory auto/P&amp;C claim-handling deadline was located; fixed 15/25/35-day timing is accident-and-health clean-claim specific.</t>
        </is>
      </c>
      <c r="F25" s="348" t="inlineStr">
        <is>
          <t>Miss. Code Ann. § 83-9-5; MID Accident and Health Submission Requirements</t>
        </is>
      </c>
      <c r="G25" s="348" t="inlineStr">
        <is>
          <t>https://www.mid.ms.gov/wp-content/uploads/2023/04/accidentandhealthsubmissionrequirements.pdf</t>
        </is>
      </c>
    </row>
    <row r="26">
      <c r="A26" s="348" t="inlineStr">
        <is>
          <t>Missouri</t>
        </is>
      </c>
      <c r="B26" s="348" t="inlineStr">
        <is>
          <t>10 working days</t>
        </is>
      </c>
      <c r="C26" s="348" t="inlineStr">
        <is>
          <t>15 working days after forms / 45-day updates</t>
        </is>
      </c>
      <c r="D26" s="348" t="inlineStr">
        <is>
          <t>10 working days</t>
        </is>
      </c>
      <c r="E26" s="348" t="inlineStr">
        <is>
          <t>Insurer must acknowledge and respond within 10 working days; accept/deny within 15 working days after submitted forms.</t>
        </is>
      </c>
      <c r="F26" s="348" t="inlineStr">
        <is>
          <t>20 CSR 100-1.010 to 100-1.050</t>
        </is>
      </c>
      <c r="G26" s="348" t="inlineStr">
        <is>
          <t>https://www.sos.mo.gov/cmsimages/adrules/csr/current/20csr/20c100-1.pdf</t>
        </is>
      </c>
    </row>
    <row r="27">
      <c r="A27" s="348" t="inlineStr">
        <is>
          <t>Montana</t>
        </is>
      </c>
      <c r="B27" s="348" t="inlineStr">
        <is>
          <t>Reasonable Time</t>
        </is>
      </c>
      <c r="C27" s="348" t="inlineStr">
        <is>
          <t>Prompt Investigation Required</t>
        </is>
      </c>
      <c r="D27" s="348" t="inlineStr">
        <is>
          <t>Prompt Payment Required</t>
        </is>
      </c>
      <c r="E27" s="348" t="inlineStr">
        <is>
          <t>Montana uses reasonable/prompt standards rather than fixed general day counts.</t>
        </is>
      </c>
      <c r="F27" s="348" t="inlineStr">
        <is>
          <t>Mont. Code Ann. § 33-18-201(2), (3), (5), (6)</t>
        </is>
      </c>
      <c r="G27" s="348" t="inlineStr">
        <is>
          <t>https://mca.legmt.gov/bills/mca/title_0330/chapter_0180/part_0020/section_0010/0330-0180-0020-0010.html</t>
        </is>
      </c>
    </row>
    <row r="28">
      <c r="A28" s="348" t="inlineStr">
        <is>
          <t>Nebraska</t>
        </is>
      </c>
      <c r="B28" s="348" t="inlineStr">
        <is>
          <t>15 days for claim forms</t>
        </is>
      </c>
      <c r="C28" s="348" t="inlineStr">
        <is>
          <t>Reasonable Time / 15 days after proof for decision</t>
        </is>
      </c>
      <c r="D28" s="348" t="inlineStr">
        <is>
          <t>15 days after acceptance/denial where payment owed</t>
        </is>
      </c>
      <c r="E28" s="348" t="inlineStr">
        <is>
          <t>Nebraska provides fixed form and decision timing, with broader reasonable/prompt settlement duties.</t>
        </is>
      </c>
      <c r="F28" s="348" t="inlineStr">
        <is>
          <t>Neb. Rev. Stat. § 44-1540; 210 Neb. Admin. Code ch. 60/61</t>
        </is>
      </c>
      <c r="G28" s="348" t="inlineStr">
        <is>
          <t>https://nebraskalegislature.gov/laws/statutes.php?statute=44-1540</t>
        </is>
      </c>
    </row>
    <row r="29">
      <c r="A29" s="348" t="inlineStr">
        <is>
          <t>Nevada</t>
        </is>
      </c>
      <c r="B29" s="348" t="inlineStr">
        <is>
          <t>20 working days</t>
        </is>
      </c>
      <c r="C29" s="348" t="inlineStr">
        <is>
          <t>30 working days / 30-day updates</t>
        </is>
      </c>
      <c r="D29" s="348" t="inlineStr">
        <is>
          <t>30 working days after settlement agreement</t>
        </is>
      </c>
      <c r="E29" s="348" t="inlineStr">
        <is>
          <t>P&amp;C claims use 20-working-day acknowledgment and 30-working-day decision/payment standards.</t>
        </is>
      </c>
      <c r="F29" s="348" t="inlineStr">
        <is>
          <t>Nev. Admin. Code §§ 686A.660, 686A.675, 686A.690</t>
        </is>
      </c>
      <c r="G29" s="348" t="inlineStr">
        <is>
          <t>https://www.leg.state.nv.us/NAC/NAC-686A.html</t>
        </is>
      </c>
    </row>
    <row r="30">
      <c r="A30" s="348" t="inlineStr">
        <is>
          <t>New Hampshire</t>
        </is>
      </c>
      <c r="B30" s="348" t="inlineStr">
        <is>
          <t>10 working days</t>
        </is>
      </c>
      <c r="C30" s="348" t="inlineStr">
        <is>
          <t>5 working days to commence / 30 days decision</t>
        </is>
      </c>
      <c r="D30" s="348" t="inlineStr">
        <is>
          <t>Promptly after acceptance; 30 days health</t>
        </is>
      </c>
      <c r="E30" s="348" t="inlineStr">
        <is>
          <t>P&amp;C rules require acknowledgment within 10 working days and prompt investigation.</t>
        </is>
      </c>
      <c r="F30" s="348" t="inlineStr">
        <is>
          <t>N.H. Code Admin. R. Ins 1001.01, 1001.02; Ins 1002.05</t>
        </is>
      </c>
      <c r="G30" s="348" t="inlineStr">
        <is>
          <t>https://www.gencourt.state.nh.us/rules/state_agencies/ins1000.html</t>
        </is>
      </c>
    </row>
    <row r="31">
      <c r="A31" s="348" t="inlineStr">
        <is>
          <t>New Jersey</t>
        </is>
      </c>
      <c r="B31" s="348" t="inlineStr">
        <is>
          <t>10 working days</t>
        </is>
      </c>
      <c r="C31" s="348" t="inlineStr">
        <is>
          <t>10 working days to commence; 30 days after properly completed proof of loss</t>
        </is>
      </c>
      <c r="D31" s="348" t="inlineStr">
        <is>
          <t>10 working days after settlement agreement</t>
        </is>
      </c>
      <c r="E31" s="348" t="inlineStr">
        <is>
          <t>Official NJAC access is through the State-licensed LexisNexis public code; row uses provision-level deadlines and official access note.</t>
        </is>
      </c>
      <c r="F31" s="348" t="inlineStr">
        <is>
          <t>N.J.A.C. 11:2-17.6(b), (c), (e); 11:2-17.7(a), (c), (e), (f)</t>
        </is>
      </c>
      <c r="G31" s="348" t="inlineStr">
        <is>
          <t>https://advance.lexis.com/container?config=00JAA5OTY5MTdjZi1lMzYxLTQxNTEtOWFkNi0xMmU5ZTViODQ2M2MKAFBvZENhdGFsb2coFSYEAfv22IKqMT9DIHrf; https://www.nj.gov/dca/codes/codreg/admin_codes_statutes.shtml</t>
        </is>
      </c>
    </row>
    <row r="32">
      <c r="A32" s="348" t="inlineStr">
        <is>
          <t>New Mexico</t>
        </is>
      </c>
      <c r="B32" s="348" t="inlineStr">
        <is>
          <t>Reasonable Time</t>
        </is>
      </c>
      <c r="C32" s="348" t="inlineStr">
        <is>
          <t>Prompt Investigation Required</t>
        </is>
      </c>
      <c r="D32" s="348" t="inlineStr">
        <is>
          <t>Prompt Payment Required</t>
        </is>
      </c>
      <c r="E32" s="348" t="inlineStr">
        <is>
          <t>Verified: New Mexico generally uses reasonable/prompt standards; 2025 OSI bulletin confirms current unfair-claims authority.</t>
        </is>
      </c>
      <c r="F32" s="348" t="inlineStr">
        <is>
          <t>NMSA 1978, § 59A-16-20(B)-(F); OSI Bulletin 2025-010</t>
        </is>
      </c>
      <c r="G32" s="348" t="inlineStr">
        <is>
          <t>https://www.osi.state.nm.us/en/news/bulletin-2025-010/</t>
        </is>
      </c>
    </row>
    <row r="33">
      <c r="A33" s="348" t="inlineStr">
        <is>
          <t>New York</t>
        </is>
      </c>
      <c r="B33" s="348" t="inlineStr">
        <is>
          <t>15 business days</t>
        </is>
      </c>
      <c r="C33" s="348" t="inlineStr">
        <is>
          <t>15 business days to begin; 15 business days after proof for decision</t>
        </is>
      </c>
      <c r="D33" s="348" t="inlineStr">
        <is>
          <t>5 business days after agreement / 15 business days undisputed first-party auto</t>
        </is>
      </c>
      <c r="E33" s="348" t="inlineStr">
        <is>
          <t>Regulation 64 applies to most lines except listed exclusions; DFS circular confirms scope and motor-vehicle-specific provisions.</t>
        </is>
      </c>
      <c r="F33" s="348" t="inlineStr">
        <is>
          <t>11 NYCRR §§ 216.4(a)-(b), 216.5(a), 216.6(c), 216.6(e); DFS Circular Letter No. 11 (1991)</t>
        </is>
      </c>
      <c r="G33" s="348" t="inlineStr">
        <is>
          <t>https://govt.westlaw.com/nycrr/Document/I500ddac5cd1711dda432a117e6e0f345; https://www.dfs.ny.gov/industry_guidance/circular_letters/cl1991_11</t>
        </is>
      </c>
    </row>
    <row r="34">
      <c r="A34" s="348" t="inlineStr">
        <is>
          <t>North Carolina</t>
        </is>
      </c>
      <c r="B34" s="348" t="inlineStr">
        <is>
          <t>Reasonably Prompt</t>
        </is>
      </c>
      <c r="C34" s="348" t="inlineStr">
        <is>
          <t>Prompt Investigation Required</t>
        </is>
      </c>
      <c r="D34" s="348" t="inlineStr">
        <is>
          <t>10 business days after motor-vehicle claim settlement</t>
        </is>
      </c>
      <c r="E34" s="348" t="inlineStr">
        <is>
          <t>General unfair-claims law uses prompt/reasonable standards; motor-vehicle payments have a fixed post-settlement deadline.</t>
        </is>
      </c>
      <c r="F34" s="348" t="inlineStr">
        <is>
          <t>N.C. Gen. Stat. § 58-63-15(11); 11 NCAC 04 .0421</t>
        </is>
      </c>
      <c r="G34" s="348" t="inlineStr">
        <is>
          <t>https://reports.oah.state.nc.us/ncac.asp?folderName=%5CTitle%2011%20-%20Insurance%5CChapter%2004%20-%20Consumer%20Services%20Division</t>
        </is>
      </c>
    </row>
    <row r="35">
      <c r="A35" s="348" t="inlineStr">
        <is>
          <t>North Dakota</t>
        </is>
      </c>
      <c r="B35" s="348" t="inlineStr">
        <is>
          <t>Reasonable Time</t>
        </is>
      </c>
      <c r="C35" s="348" t="inlineStr">
        <is>
          <t>Prompt Investigation Required</t>
        </is>
      </c>
      <c r="D35" s="348" t="inlineStr">
        <is>
          <t>Prompt Payment Required / 15 business days health proof</t>
        </is>
      </c>
      <c r="E35" s="348" t="inlineStr">
        <is>
          <t>Verified: general claim rules use reasonable/prompt standards; health proof-of-loss claims have specific timing.</t>
        </is>
      </c>
      <c r="F35" s="348" t="inlineStr">
        <is>
          <t>N.D.C.C. § 26.1-04-03(9); § 26.1-36-37.1</t>
        </is>
      </c>
      <c r="G35" s="348" t="inlineStr">
        <is>
          <t>https://ndlegis.gov/cencode/t26-1c04.pdf</t>
        </is>
      </c>
    </row>
    <row r="36">
      <c r="A36" s="348" t="inlineStr">
        <is>
          <t>Ohio</t>
        </is>
      </c>
      <c r="B36" s="348" t="inlineStr">
        <is>
          <t>15 days</t>
        </is>
      </c>
      <c r="C36" s="348" t="inlineStr">
        <is>
          <t>21 days after proof / 45-day updates</t>
        </is>
      </c>
      <c r="D36" s="348" t="inlineStr">
        <is>
          <t>10 days after acceptance</t>
        </is>
      </c>
      <c r="E36" s="348" t="inlineStr">
        <is>
          <t>P&amp;C insurers must acknowledge within 15 days and act on proof of loss within rule deadlines.</t>
        </is>
      </c>
      <c r="F36" s="348" t="inlineStr">
        <is>
          <t>Ohio Admin. Code 3901-1-54(F), (G), (H)</t>
        </is>
      </c>
      <c r="G36" s="348" t="inlineStr">
        <is>
          <t>https://codes.ohio.gov/ohio-administrative-code/rule-3901-1-54</t>
        </is>
      </c>
    </row>
    <row r="37">
      <c r="A37" s="348" t="inlineStr">
        <is>
          <t>Oklahoma</t>
        </is>
      </c>
      <c r="B37" s="348" t="inlineStr">
        <is>
          <t>30 business days</t>
        </is>
      </c>
      <c r="C37" s="348" t="inlineStr">
        <is>
          <t>45 business days / 45-day updates</t>
        </is>
      </c>
      <c r="D37" s="348" t="inlineStr">
        <is>
          <t>Prompt Payment Required</t>
        </is>
      </c>
      <c r="E37" s="348" t="inlineStr">
        <is>
          <t>P&amp;C insurers must acknowledge within 30 business days and provide delay updates when unresolved.</t>
        </is>
      </c>
      <c r="F37" s="348" t="inlineStr">
        <is>
          <t>Okla. Admin. Code 365:15-3-5 to 365:15-3-8</t>
        </is>
      </c>
      <c r="G37" s="348" t="inlineStr">
        <is>
          <t>https://www.oid.ok.gov/wp-content/uploads/2019/10/18-11-07-C15S3.pdf</t>
        </is>
      </c>
    </row>
    <row r="38">
      <c r="A38" s="348" t="inlineStr">
        <is>
          <t>Oregon</t>
        </is>
      </c>
      <c r="B38" s="348" t="inlineStr">
        <is>
          <t>30 days</t>
        </is>
      </c>
      <c r="C38" s="348" t="inlineStr">
        <is>
          <t>30 days after proof / 45-day updates</t>
        </is>
      </c>
      <c r="D38" s="348" t="inlineStr">
        <is>
          <t>Prompt Payment Required</t>
        </is>
      </c>
      <c r="E38" s="348" t="inlineStr">
        <is>
          <t>Oregon requires acknowledgment within 30 days and acceptance/denial within 30 days after proof.</t>
        </is>
      </c>
      <c r="F38" s="348" t="inlineStr">
        <is>
          <t>Or. Admin. R. 836-080-0225; 836-080-0235; ORS 746.230</t>
        </is>
      </c>
      <c r="G38" s="348" t="inlineStr">
        <is>
          <t>https://secure.sos.state.or.us/oard/viewSingleRule.action?ruleVrsnRsn=205177</t>
        </is>
      </c>
    </row>
    <row r="39">
      <c r="A39" s="348" t="inlineStr">
        <is>
          <t>Pennsylvania</t>
        </is>
      </c>
      <c r="B39" s="348" t="inlineStr">
        <is>
          <t>10 working days</t>
        </is>
      </c>
      <c r="C39" s="348" t="inlineStr">
        <is>
          <t>30 days / 45-day updates</t>
        </is>
      </c>
      <c r="D39" s="348" t="inlineStr">
        <is>
          <t>15 working days after proof</t>
        </is>
      </c>
      <c r="E39" s="348" t="inlineStr">
        <is>
          <t>Pennsylvania sets fixed acknowledgment, investigation, delay-notice, and proof-of-loss decision standards.</t>
        </is>
      </c>
      <c r="F39" s="348" t="inlineStr">
        <is>
          <t>31 Pa. Code §§ 146.5, 146.6, 146.7</t>
        </is>
      </c>
      <c r="G39" s="348" t="inlineStr">
        <is>
          <t>https://www.pacodeandbulletin.gov/secure/pacode/data/031/chapter146/031_0146.pdf</t>
        </is>
      </c>
    </row>
    <row r="40">
      <c r="A40" s="348" t="inlineStr">
        <is>
          <t>Rhode Island</t>
        </is>
      </c>
      <c r="B40" s="348" t="inlineStr">
        <is>
          <t>15 days</t>
        </is>
      </c>
      <c r="C40" s="348" t="inlineStr">
        <is>
          <t>21 days after proof / 45-day updates</t>
        </is>
      </c>
      <c r="D40" s="348" t="inlineStr">
        <is>
          <t>30 days after liability affirmed</t>
        </is>
      </c>
      <c r="E40" s="348" t="inlineStr">
        <is>
          <t>P&amp;C: acknowledge/respond within 15 days; accept/deny within 21 days after proof; tender undisputed payment within 30 days after liability affirmation.</t>
        </is>
      </c>
      <c r="F40" s="348" t="inlineStr">
        <is>
          <t>230 RICR 20-40-2.6(A), (D), (F); 230 RICR 20-40-2.7(A), (B), (F)</t>
        </is>
      </c>
      <c r="G40" s="348" t="inlineStr">
        <is>
          <t>https://rules.sos.ri.gov/regulations/part/230-20-40-2</t>
        </is>
      </c>
    </row>
    <row r="41">
      <c r="A41" s="348" t="inlineStr">
        <is>
          <t>South Carolina</t>
        </is>
      </c>
      <c r="B41" s="348" t="inlineStr">
        <is>
          <t>Reasonably Prompt</t>
        </is>
      </c>
      <c r="C41" s="348" t="inlineStr">
        <is>
          <t>Prompt Investigation Required</t>
        </is>
      </c>
      <c r="D41" s="348" t="inlineStr">
        <is>
          <t>90 days if refusal without reasonable cause or bad faith</t>
        </is>
      </c>
      <c r="E41" s="348" t="inlineStr">
        <is>
          <t>South Carolina uses reasonable/prompt standards; bad-faith refusal to pay has a 90-day statutory trigger.</t>
        </is>
      </c>
      <c r="F41" s="348" t="inlineStr">
        <is>
          <t>S.C. Code Ann. §§ 38-59-20, 38-59-40</t>
        </is>
      </c>
      <c r="G41" s="348" t="inlineStr">
        <is>
          <t>https://www.scstatehouse.gov/code/t38c059.php</t>
        </is>
      </c>
    </row>
    <row r="42">
      <c r="A42" s="348" t="inlineStr">
        <is>
          <t>South Dakota</t>
        </is>
      </c>
      <c r="B42" s="348" t="inlineStr">
        <is>
          <t>30 days</t>
        </is>
      </c>
      <c r="C42" s="348" t="inlineStr">
        <is>
          <t>Prompt Investigation Required</t>
        </is>
      </c>
      <c r="D42" s="348" t="inlineStr">
        <is>
          <t>Prompt Payment Required</t>
        </is>
      </c>
      <c r="E42" s="348" t="inlineStr">
        <is>
          <t>Insurers must acknowledge and act within 30 days on claim communications.</t>
        </is>
      </c>
      <c r="F42" s="348" t="inlineStr">
        <is>
          <t>S.D. Codified Laws §§ 58-33-67, 58-12-34</t>
        </is>
      </c>
      <c r="G42" s="348" t="inlineStr">
        <is>
          <t>https://sdlegislature.gov/Statutes/58-33-67</t>
        </is>
      </c>
    </row>
    <row r="43">
      <c r="A43" s="348" t="inlineStr">
        <is>
          <t>Tennessee</t>
        </is>
      </c>
      <c r="B43" s="348" t="inlineStr">
        <is>
          <t>30 days</t>
        </is>
      </c>
      <c r="C43" s="348" t="inlineStr">
        <is>
          <t>60 days after proof / 60-day updates</t>
        </is>
      </c>
      <c r="D43" s="348" t="inlineStr">
        <is>
          <t>30 days after liability affirmed</t>
        </is>
      </c>
      <c r="E43" s="348" t="inlineStr">
        <is>
          <t>Tennessee sets 30-day acknowledgment, 60-day proof-of-loss decision/update, and 30-day payment after liability is affirmed.</t>
        </is>
      </c>
      <c r="F43" s="348" t="inlineStr">
        <is>
          <t>Tenn. Comp. R. &amp; Regs. 0780-01-05-.07, -.08; Tenn. Code Ann. § 56-8-105</t>
        </is>
      </c>
      <c r="G43" s="348" t="inlineStr">
        <is>
          <t>https://publications.tnsosfiles.com/rules/0780/0780-01/0780-01-05.20171009.pdf</t>
        </is>
      </c>
    </row>
    <row r="44">
      <c r="A44" s="348" t="inlineStr">
        <is>
          <t>Texas</t>
        </is>
      </c>
      <c r="B44" s="348" t="inlineStr">
        <is>
          <t>15 days; 30 days surplus lines</t>
        </is>
      </c>
      <c r="C44" s="348" t="inlineStr">
        <is>
          <t>15 business days after all required items / 45-day extension</t>
        </is>
      </c>
      <c r="D44" s="348" t="inlineStr">
        <is>
          <t>5 business days after notice of payment; surplus lines 20 business days</t>
        </is>
      </c>
      <c r="E44" s="348" t="inlineStr">
        <is>
          <t>Prompt Payment of Claims Act sets acknowledgment, acceptance/rejection, extension, and payment trigger deadlines for first-party claims.</t>
        </is>
      </c>
      <c r="F44" s="348" t="inlineStr">
        <is>
          <t>Tex. Ins. Code §§ 542.055, 542.056, 542.057</t>
        </is>
      </c>
      <c r="G44" s="348" t="inlineStr">
        <is>
          <t>https://statutes.capitol.texas.gov/Docs/IN/htm/IN.542.htm#542.055</t>
        </is>
      </c>
    </row>
    <row r="45">
      <c r="A45" s="348" t="inlineStr">
        <is>
          <t>Utah</t>
        </is>
      </c>
      <c r="B45" s="348" t="inlineStr">
        <is>
          <t>15 days</t>
        </is>
      </c>
      <c r="C45" s="348" t="inlineStr">
        <is>
          <t>30 days after proof / 45-day updates</t>
        </is>
      </c>
      <c r="D45" s="348" t="inlineStr">
        <is>
          <t>30 days after proof when liability reasonably clear</t>
        </is>
      </c>
      <c r="E45" s="348" t="inlineStr">
        <is>
          <t>Utah P&amp;C rule sets 15-day acknowledgment and 30-day proof-of-loss investigation/payment standards, with 45-day updates if incomplete.</t>
        </is>
      </c>
      <c r="F45" s="348" t="inlineStr">
        <is>
          <t>Utah Admin. Code R590-190-6; R590-190-9; R590-190-10</t>
        </is>
      </c>
      <c r="G45" s="348" t="inlineStr">
        <is>
          <t>https://adminrules.utah.gov/public/rule/R590-190/Current%20Rules</t>
        </is>
      </c>
    </row>
    <row r="46">
      <c r="A46" s="348" t="inlineStr">
        <is>
          <t>Vermont</t>
        </is>
      </c>
      <c r="B46" s="348" t="inlineStr">
        <is>
          <t>10 working days</t>
        </is>
      </c>
      <c r="C46" s="348" t="inlineStr">
        <is>
          <t>15 working days after proof / 45-day updates</t>
        </is>
      </c>
      <c r="D46" s="348" t="inlineStr">
        <is>
          <t>10 working days after settlement agreement</t>
        </is>
      </c>
      <c r="E46" s="348" t="inlineStr">
        <is>
          <t>Official statute confirms unfair-claims authority; regulation supplies fixed timing, but official public regulation access is through the Vermont code portal.</t>
        </is>
      </c>
      <c r="F46" s="348" t="inlineStr">
        <is>
          <t>Vt. Admin. Code 21-020-008 §§ 5-7; 8 V.S.A. § 4724(9)</t>
        </is>
      </c>
      <c r="G46" s="348" t="inlineStr">
        <is>
          <t>https://legislature.vermont.gov/statutes/section/08/129/04724; https://www.lexisnexis.com/hottopics/codeofvtrules/</t>
        </is>
      </c>
    </row>
    <row r="47">
      <c r="A47" s="348" t="inlineStr">
        <is>
          <t>Virginia</t>
        </is>
      </c>
      <c r="B47" s="348" t="inlineStr">
        <is>
          <t>15 calendar days</t>
        </is>
      </c>
      <c r="C47" s="348" t="inlineStr">
        <is>
          <t>15 calendar days after proof / 45-day updates</t>
        </is>
      </c>
      <c r="D47" s="348" t="inlineStr">
        <is>
          <t>Prompt Payment Required</t>
        </is>
      </c>
      <c r="E47" s="348" t="inlineStr">
        <is>
          <t>Virginia admin code sets fixed acknowledgment and proof-of-loss decision timing; statute supplies unfair-claim authority.</t>
        </is>
      </c>
      <c r="F47" s="348" t="inlineStr">
        <is>
          <t>14VAC5-400-50; 14VAC5-400-60; 14VAC5-400-70; Va. Code § 38.2-510(A)(2)-(6)</t>
        </is>
      </c>
      <c r="G47" s="348" t="inlineStr">
        <is>
          <t>https://law.lis.virginia.gov/admincodefull/title14/agency5/chapter400/</t>
        </is>
      </c>
    </row>
    <row r="48">
      <c r="A48" s="348" t="inlineStr">
        <is>
          <t>Washington</t>
        </is>
      </c>
      <c r="B48" s="348" t="inlineStr">
        <is>
          <t>10 working days individual / 15 working days group</t>
        </is>
      </c>
      <c r="C48" s="348" t="inlineStr">
        <is>
          <t>30 days / 45-day then 30-day updates</t>
        </is>
      </c>
      <c r="D48" s="348" t="inlineStr">
        <is>
          <t>15 working days after completed proof acceptance/denial; prompt payment required</t>
        </is>
      </c>
      <c r="E48" s="348" t="inlineStr">
        <is>
          <t>Washington sets fixed acknowledgment, investigation, proof-of-loss decision, delay-update, and payment standards.</t>
        </is>
      </c>
      <c r="F48" s="348" t="inlineStr">
        <is>
          <t>WAC 284-30-360; WAC 284-30-370; WAC 284-30-380</t>
        </is>
      </c>
      <c r="G48" s="348" t="inlineStr">
        <is>
          <t>https://app.leg.wa.gov/WAC/default.aspx?cite=284-30-360</t>
        </is>
      </c>
    </row>
    <row r="49">
      <c r="A49" s="348" t="inlineStr">
        <is>
          <t>West Virginia</t>
        </is>
      </c>
      <c r="B49" s="348" t="inlineStr">
        <is>
          <t>15 working days</t>
        </is>
      </c>
      <c r="C49" s="348" t="inlineStr">
        <is>
          <t>15 working days to commence; 10 working days after completed investigation</t>
        </is>
      </c>
      <c r="D49" s="348" t="inlineStr">
        <is>
          <t>15 working days after settlement agreement/condition performed</t>
        </is>
      </c>
      <c r="E49" s="348" t="inlineStr">
        <is>
          <t>Insurers must acknowledge within 15 working days, commence investigation within 15 working days, and pay settlements within 15 working days.</t>
        </is>
      </c>
      <c r="F49" s="348" t="inlineStr">
        <is>
          <t>W. Va. Code R. §§ 114-14-5, 114-14-6</t>
        </is>
      </c>
      <c r="G49" s="348" t="inlineStr">
        <is>
          <t>https://www.wvinsurance.gov/LinkClick.aspx?fileticket=HeCI8XRvGoM%3D&amp;mid=886&amp;portalid=0&amp;tabid=329</t>
        </is>
      </c>
    </row>
    <row r="50">
      <c r="A50" s="348" t="inlineStr">
        <is>
          <t>Wisconsin</t>
        </is>
      </c>
      <c r="B50" s="348" t="inlineStr">
        <is>
          <t>10 days</t>
        </is>
      </c>
      <c r="C50" s="348" t="inlineStr">
        <is>
          <t>Reasonable Time</t>
        </is>
      </c>
      <c r="D50" s="348" t="inlineStr">
        <is>
          <t>30 days after written notice of covered loss and amount</t>
        </is>
      </c>
      <c r="E50" s="348" t="inlineStr">
        <is>
          <t>Wisconsin requires claim acknowledgment within 10 days and payment within 30 days once covered loss and amount are established.</t>
        </is>
      </c>
      <c r="F50" s="348" t="inlineStr">
        <is>
          <t>Wis. Admin. Code Ins § 6.11; Wis. Stat. § 628.46</t>
        </is>
      </c>
      <c r="G50" s="348" t="inlineStr">
        <is>
          <t>https://docs.legis.wisconsin.gov/code/admin_code/ins/6/11</t>
        </is>
      </c>
    </row>
    <row r="51">
      <c r="A51" s="348" t="inlineStr">
        <is>
          <t>Wyoming</t>
        </is>
      </c>
      <c r="B51" s="348" t="inlineStr">
        <is>
          <t>Reasonably Prompt</t>
        </is>
      </c>
      <c r="C51" s="348" t="inlineStr">
        <is>
          <t>Prompt Investigation Required</t>
        </is>
      </c>
      <c r="D51" s="348" t="inlineStr">
        <is>
          <t>Prompt Payment Required</t>
        </is>
      </c>
      <c r="E51" s="348" t="inlineStr">
        <is>
          <t>Wyoming uses reasonably prompt/prompt unfair-claims standards rather than fixed general day counts.</t>
        </is>
      </c>
      <c r="F51" s="348" t="inlineStr">
        <is>
          <t>Wyo. Stat. Ann. § 26-13-124(a)(ii)-(vi)</t>
        </is>
      </c>
      <c r="G51" s="348" t="inlineStr">
        <is>
          <t>https://wyoleg.gov/statutes/compress/title26.pdf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18" customWidth="1" style="355" min="2" max="2"/>
    <col width="18" customWidth="1" style="355" min="3" max="3"/>
    <col width="18" customWidth="1" style="355" min="4" max="4"/>
    <col width="18" customWidth="1" style="355" min="5" max="5"/>
    <col width="36" customWidth="1" style="355" min="6" max="6"/>
  </cols>
  <sheetData>
    <row r="1">
      <c r="A1" s="434" t="inlineStr">
        <is>
          <t>State</t>
        </is>
      </c>
      <c r="B1" s="434" t="inlineStr">
        <is>
          <t>Data Complete</t>
        </is>
      </c>
      <c r="C1" s="434" t="inlineStr">
        <is>
          <t>Citation Present</t>
        </is>
      </c>
      <c r="D1" s="434" t="inlineStr">
        <is>
          <t>URL Present</t>
        </is>
      </c>
      <c r="E1" s="434" t="inlineStr">
        <is>
          <t>Website Ready</t>
        </is>
      </c>
      <c r="F1" s="434" t="inlineStr">
        <is>
          <t>Notes</t>
        </is>
      </c>
    </row>
    <row r="2">
      <c r="A2" s="348" t="inlineStr">
        <is>
          <t>Alabama</t>
        </is>
      </c>
      <c r="B2" s="348">
        <f>IF(COUNTA(Claims_Deadlines_Website!A2:G2)=7,"Pass","Needs Review")</f>
        <v/>
      </c>
      <c r="C2" s="348">
        <f>IF(LEN(Claims_Deadlines_Website!F2)&gt;0,"Pass","Needs Review")</f>
        <v/>
      </c>
      <c r="D2" s="348">
        <f>IF(LEFT(Claims_Deadlines_Website!G2,4)="http","Pass","Needs Review")</f>
        <v/>
      </c>
      <c r="E2" s="348">
        <f>IF(AND(B2="Pass",C2="Pass",D2="Pass"),"Ready","Needs Review")</f>
        <v/>
      </c>
      <c r="F2" s="348">
        <f>IF(E2="Ready","Import-ready row","Check missing or malformed field")</f>
        <v/>
      </c>
    </row>
    <row r="3">
      <c r="A3" s="348" t="inlineStr">
        <is>
          <t>Alaska</t>
        </is>
      </c>
      <c r="B3" s="348">
        <f>IF(COUNTA(Claims_Deadlines_Website!A3:G3)=7,"Pass","Needs Review")</f>
        <v/>
      </c>
      <c r="C3" s="348">
        <f>IF(LEN(Claims_Deadlines_Website!F3)&gt;0,"Pass","Needs Review")</f>
        <v/>
      </c>
      <c r="D3" s="348">
        <f>IF(LEFT(Claims_Deadlines_Website!G3,4)="http","Pass","Needs Review")</f>
        <v/>
      </c>
      <c r="E3" s="348">
        <f>IF(AND(B3="Pass",C3="Pass",D3="Pass"),"Ready","Needs Review")</f>
        <v/>
      </c>
      <c r="F3" s="348">
        <f>IF(E3="Ready","Import-ready row","Check missing or malformed field")</f>
        <v/>
      </c>
    </row>
    <row r="4">
      <c r="A4" s="348" t="inlineStr">
        <is>
          <t>Arizona</t>
        </is>
      </c>
      <c r="B4" s="348">
        <f>IF(COUNTA(Claims_Deadlines_Website!A4:G4)=7,"Pass","Needs Review")</f>
        <v/>
      </c>
      <c r="C4" s="348">
        <f>IF(LEN(Claims_Deadlines_Website!F4)&gt;0,"Pass","Needs Review")</f>
        <v/>
      </c>
      <c r="D4" s="348">
        <f>IF(LEFT(Claims_Deadlines_Website!G4,4)="http","Pass","Needs Review")</f>
        <v/>
      </c>
      <c r="E4" s="348">
        <f>IF(AND(B4="Pass",C4="Pass",D4="Pass"),"Ready","Needs Review")</f>
        <v/>
      </c>
      <c r="F4" s="348">
        <f>IF(E4="Ready","Import-ready row","Check missing or malformed field")</f>
        <v/>
      </c>
    </row>
    <row r="5">
      <c r="A5" s="348" t="inlineStr">
        <is>
          <t>Arkansas</t>
        </is>
      </c>
      <c r="B5" s="348">
        <f>IF(COUNTA(Claims_Deadlines_Website!A5:G5)=7,"Pass","Needs Review")</f>
        <v/>
      </c>
      <c r="C5" s="348">
        <f>IF(LEN(Claims_Deadlines_Website!F5)&gt;0,"Pass","Needs Review")</f>
        <v/>
      </c>
      <c r="D5" s="348">
        <f>IF(LEFT(Claims_Deadlines_Website!G5,4)="http","Pass","Needs Review")</f>
        <v/>
      </c>
      <c r="E5" s="348">
        <f>IF(AND(B5="Pass",C5="Pass",D5="Pass"),"Ready","Needs Review")</f>
        <v/>
      </c>
      <c r="F5" s="348">
        <f>IF(E5="Ready","Import-ready row","Check missing or malformed field")</f>
        <v/>
      </c>
    </row>
    <row r="6">
      <c r="A6" s="348" t="inlineStr">
        <is>
          <t>California</t>
        </is>
      </c>
      <c r="B6" s="348">
        <f>IF(COUNTA(Claims_Deadlines_Website!A6:G6)=7,"Pass","Needs Review")</f>
        <v/>
      </c>
      <c r="C6" s="348">
        <f>IF(LEN(Claims_Deadlines_Website!F6)&gt;0,"Pass","Needs Review")</f>
        <v/>
      </c>
      <c r="D6" s="348">
        <f>IF(LEFT(Claims_Deadlines_Website!G6,4)="http","Pass","Needs Review")</f>
        <v/>
      </c>
      <c r="E6" s="348">
        <f>IF(AND(B6="Pass",C6="Pass",D6="Pass"),"Ready","Needs Review")</f>
        <v/>
      </c>
      <c r="F6" s="348">
        <f>IF(E6="Ready","Import-ready row","Check missing or malformed field")</f>
        <v/>
      </c>
    </row>
    <row r="7">
      <c r="A7" s="348" t="inlineStr">
        <is>
          <t>Colorado</t>
        </is>
      </c>
      <c r="B7" s="348">
        <f>IF(COUNTA(Claims_Deadlines_Website!A7:G7)=7,"Pass","Needs Review")</f>
        <v/>
      </c>
      <c r="C7" s="348">
        <f>IF(LEN(Claims_Deadlines_Website!F7)&gt;0,"Pass","Needs Review")</f>
        <v/>
      </c>
      <c r="D7" s="348">
        <f>IF(LEFT(Claims_Deadlines_Website!G7,4)="http","Pass","Needs Review")</f>
        <v/>
      </c>
      <c r="E7" s="348">
        <f>IF(AND(B7="Pass",C7="Pass",D7="Pass"),"Ready","Needs Review")</f>
        <v/>
      </c>
      <c r="F7" s="348">
        <f>IF(E7="Ready","Import-ready row","Check missing or malformed field")</f>
        <v/>
      </c>
    </row>
    <row r="8">
      <c r="A8" s="348" t="inlineStr">
        <is>
          <t>Connecticut</t>
        </is>
      </c>
      <c r="B8" s="348">
        <f>IF(COUNTA(Claims_Deadlines_Website!A8:G8)=7,"Pass","Needs Review")</f>
        <v/>
      </c>
      <c r="C8" s="348">
        <f>IF(LEN(Claims_Deadlines_Website!F8)&gt;0,"Pass","Needs Review")</f>
        <v/>
      </c>
      <c r="D8" s="348">
        <f>IF(LEFT(Claims_Deadlines_Website!G8,4)="http","Pass","Needs Review")</f>
        <v/>
      </c>
      <c r="E8" s="348">
        <f>IF(AND(B8="Pass",C8="Pass",D8="Pass"),"Ready","Needs Review")</f>
        <v/>
      </c>
      <c r="F8" s="348">
        <f>IF(E8="Ready","Import-ready row","Check missing or malformed field")</f>
        <v/>
      </c>
    </row>
    <row r="9">
      <c r="A9" s="348" t="inlineStr">
        <is>
          <t>Delaware</t>
        </is>
      </c>
      <c r="B9" s="348">
        <f>IF(COUNTA(Claims_Deadlines_Website!A9:G9)=7,"Pass","Needs Review")</f>
        <v/>
      </c>
      <c r="C9" s="348">
        <f>IF(LEN(Claims_Deadlines_Website!F9)&gt;0,"Pass","Needs Review")</f>
        <v/>
      </c>
      <c r="D9" s="348">
        <f>IF(LEFT(Claims_Deadlines_Website!G9,4)="http","Pass","Needs Review")</f>
        <v/>
      </c>
      <c r="E9" s="348">
        <f>IF(AND(B9="Pass",C9="Pass",D9="Pass"),"Ready","Needs Review")</f>
        <v/>
      </c>
      <c r="F9" s="348">
        <f>IF(E9="Ready","Import-ready row","Check missing or malformed field")</f>
        <v/>
      </c>
    </row>
    <row r="10">
      <c r="A10" s="348" t="inlineStr">
        <is>
          <t>Florida</t>
        </is>
      </c>
      <c r="B10" s="348">
        <f>IF(COUNTA(Claims_Deadlines_Website!A10:G10)=7,"Pass","Needs Review")</f>
        <v/>
      </c>
      <c r="C10" s="348">
        <f>IF(LEN(Claims_Deadlines_Website!F10)&gt;0,"Pass","Needs Review")</f>
        <v/>
      </c>
      <c r="D10" s="348">
        <f>IF(LEFT(Claims_Deadlines_Website!G10,4)="http","Pass","Needs Review")</f>
        <v/>
      </c>
      <c r="E10" s="348">
        <f>IF(AND(B10="Pass",C10="Pass",D10="Pass"),"Ready","Needs Review")</f>
        <v/>
      </c>
      <c r="F10" s="348">
        <f>IF(E10="Ready","Import-ready row","Check missing or malformed field")</f>
        <v/>
      </c>
    </row>
    <row r="11">
      <c r="A11" s="348" t="inlineStr">
        <is>
          <t>Georgia</t>
        </is>
      </c>
      <c r="B11" s="348">
        <f>IF(COUNTA(Claims_Deadlines_Website!A11:G11)=7,"Pass","Needs Review")</f>
        <v/>
      </c>
      <c r="C11" s="348">
        <f>IF(LEN(Claims_Deadlines_Website!F11)&gt;0,"Pass","Needs Review")</f>
        <v/>
      </c>
      <c r="D11" s="348">
        <f>IF(LEFT(Claims_Deadlines_Website!G11,4)="http","Pass","Needs Review")</f>
        <v/>
      </c>
      <c r="E11" s="348">
        <f>IF(AND(B11="Pass",C11="Pass",D11="Pass"),"Ready","Needs Review")</f>
        <v/>
      </c>
      <c r="F11" s="348">
        <f>IF(E11="Ready","Import-ready row","Check missing or malformed field")</f>
        <v/>
      </c>
    </row>
    <row r="12">
      <c r="A12" s="348" t="inlineStr">
        <is>
          <t>Hawaii</t>
        </is>
      </c>
      <c r="B12" s="348">
        <f>IF(COUNTA(Claims_Deadlines_Website!A12:G12)=7,"Pass","Needs Review")</f>
        <v/>
      </c>
      <c r="C12" s="348">
        <f>IF(LEN(Claims_Deadlines_Website!F12)&gt;0,"Pass","Needs Review")</f>
        <v/>
      </c>
      <c r="D12" s="348">
        <f>IF(LEFT(Claims_Deadlines_Website!G12,4)="http","Pass","Needs Review")</f>
        <v/>
      </c>
      <c r="E12" s="348">
        <f>IF(AND(B12="Pass",C12="Pass",D12="Pass"),"Ready","Needs Review")</f>
        <v/>
      </c>
      <c r="F12" s="348">
        <f>IF(E12="Ready","Import-ready row","Check missing or malformed field")</f>
        <v/>
      </c>
    </row>
    <row r="13">
      <c r="A13" s="348" t="inlineStr">
        <is>
          <t>Idaho</t>
        </is>
      </c>
      <c r="B13" s="348">
        <f>IF(COUNTA(Claims_Deadlines_Website!A13:G13)=7,"Pass","Needs Review")</f>
        <v/>
      </c>
      <c r="C13" s="348">
        <f>IF(LEN(Claims_Deadlines_Website!F13)&gt;0,"Pass","Needs Review")</f>
        <v/>
      </c>
      <c r="D13" s="348">
        <f>IF(LEFT(Claims_Deadlines_Website!G13,4)="http","Pass","Needs Review")</f>
        <v/>
      </c>
      <c r="E13" s="348">
        <f>IF(AND(B13="Pass",C13="Pass",D13="Pass"),"Ready","Needs Review")</f>
        <v/>
      </c>
      <c r="F13" s="348">
        <f>IF(E13="Ready","Import-ready row","Check missing or malformed field")</f>
        <v/>
      </c>
    </row>
    <row r="14">
      <c r="A14" s="348" t="inlineStr">
        <is>
          <t>Illinois</t>
        </is>
      </c>
      <c r="B14" s="348">
        <f>IF(COUNTA(Claims_Deadlines_Website!A14:G14)=7,"Pass","Needs Review")</f>
        <v/>
      </c>
      <c r="C14" s="348">
        <f>IF(LEN(Claims_Deadlines_Website!F14)&gt;0,"Pass","Needs Review")</f>
        <v/>
      </c>
      <c r="D14" s="348">
        <f>IF(LEFT(Claims_Deadlines_Website!G14,4)="http","Pass","Needs Review")</f>
        <v/>
      </c>
      <c r="E14" s="348">
        <f>IF(AND(B14="Pass",C14="Pass",D14="Pass"),"Ready","Needs Review")</f>
        <v/>
      </c>
      <c r="F14" s="348">
        <f>IF(E14="Ready","Import-ready row","Check missing or malformed field")</f>
        <v/>
      </c>
    </row>
    <row r="15">
      <c r="A15" s="348" t="inlineStr">
        <is>
          <t>Indiana</t>
        </is>
      </c>
      <c r="B15" s="348">
        <f>IF(COUNTA(Claims_Deadlines_Website!A15:G15)=7,"Pass","Needs Review")</f>
        <v/>
      </c>
      <c r="C15" s="348">
        <f>IF(LEN(Claims_Deadlines_Website!F15)&gt;0,"Pass","Needs Review")</f>
        <v/>
      </c>
      <c r="D15" s="348">
        <f>IF(LEFT(Claims_Deadlines_Website!G15,4)="http","Pass","Needs Review")</f>
        <v/>
      </c>
      <c r="E15" s="348">
        <f>IF(AND(B15="Pass",C15="Pass",D15="Pass"),"Ready","Needs Review")</f>
        <v/>
      </c>
      <c r="F15" s="348">
        <f>IF(E15="Ready","Import-ready row","Check missing or malformed field")</f>
        <v/>
      </c>
    </row>
    <row r="16">
      <c r="A16" s="348" t="inlineStr">
        <is>
          <t>Iowa</t>
        </is>
      </c>
      <c r="B16" s="348">
        <f>IF(COUNTA(Claims_Deadlines_Website!A16:G16)=7,"Pass","Needs Review")</f>
        <v/>
      </c>
      <c r="C16" s="348">
        <f>IF(LEN(Claims_Deadlines_Website!F16)&gt;0,"Pass","Needs Review")</f>
        <v/>
      </c>
      <c r="D16" s="348">
        <f>IF(LEFT(Claims_Deadlines_Website!G16,4)="http","Pass","Needs Review")</f>
        <v/>
      </c>
      <c r="E16" s="348">
        <f>IF(AND(B16="Pass",C16="Pass",D16="Pass"),"Ready","Needs Review")</f>
        <v/>
      </c>
      <c r="F16" s="348">
        <f>IF(E16="Ready","Import-ready row","Check missing or malformed field")</f>
        <v/>
      </c>
    </row>
    <row r="17">
      <c r="A17" s="348" t="inlineStr">
        <is>
          <t>Kansas</t>
        </is>
      </c>
      <c r="B17" s="348">
        <f>IF(COUNTA(Claims_Deadlines_Website!A17:G17)=7,"Pass","Needs Review")</f>
        <v/>
      </c>
      <c r="C17" s="348">
        <f>IF(LEN(Claims_Deadlines_Website!F17)&gt;0,"Pass","Needs Review")</f>
        <v/>
      </c>
      <c r="D17" s="348">
        <f>IF(LEFT(Claims_Deadlines_Website!G17,4)="http","Pass","Needs Review")</f>
        <v/>
      </c>
      <c r="E17" s="348">
        <f>IF(AND(B17="Pass",C17="Pass",D17="Pass"),"Ready","Needs Review")</f>
        <v/>
      </c>
      <c r="F17" s="348">
        <f>IF(E17="Ready","Import-ready row","Check missing or malformed field")</f>
        <v/>
      </c>
    </row>
    <row r="18">
      <c r="A18" s="348" t="inlineStr">
        <is>
          <t>Kentucky</t>
        </is>
      </c>
      <c r="B18" s="348">
        <f>IF(COUNTA(Claims_Deadlines_Website!A18:G18)=7,"Pass","Needs Review")</f>
        <v/>
      </c>
      <c r="C18" s="348">
        <f>IF(LEN(Claims_Deadlines_Website!F18)&gt;0,"Pass","Needs Review")</f>
        <v/>
      </c>
      <c r="D18" s="348">
        <f>IF(LEFT(Claims_Deadlines_Website!G18,4)="http","Pass","Needs Review")</f>
        <v/>
      </c>
      <c r="E18" s="348">
        <f>IF(AND(B18="Pass",C18="Pass",D18="Pass"),"Ready","Needs Review")</f>
        <v/>
      </c>
      <c r="F18" s="348">
        <f>IF(E18="Ready","Import-ready row","Check missing or malformed field")</f>
        <v/>
      </c>
    </row>
    <row r="19">
      <c r="A19" s="348" t="inlineStr">
        <is>
          <t>Louisiana</t>
        </is>
      </c>
      <c r="B19" s="348">
        <f>IF(COUNTA(Claims_Deadlines_Website!A19:G19)=7,"Pass","Needs Review")</f>
        <v/>
      </c>
      <c r="C19" s="348">
        <f>IF(LEN(Claims_Deadlines_Website!F19)&gt;0,"Pass","Needs Review")</f>
        <v/>
      </c>
      <c r="D19" s="348">
        <f>IF(LEFT(Claims_Deadlines_Website!G19,4)="http","Pass","Needs Review")</f>
        <v/>
      </c>
      <c r="E19" s="348">
        <f>IF(AND(B19="Pass",C19="Pass",D19="Pass"),"Ready","Needs Review")</f>
        <v/>
      </c>
      <c r="F19" s="348">
        <f>IF(E19="Ready","Import-ready row","Check missing or malformed field")</f>
        <v/>
      </c>
    </row>
    <row r="20">
      <c r="A20" s="348" t="inlineStr">
        <is>
          <t>Maine</t>
        </is>
      </c>
      <c r="B20" s="348">
        <f>IF(COUNTA(Claims_Deadlines_Website!A20:G20)=7,"Pass","Needs Review")</f>
        <v/>
      </c>
      <c r="C20" s="348">
        <f>IF(LEN(Claims_Deadlines_Website!F20)&gt;0,"Pass","Needs Review")</f>
        <v/>
      </c>
      <c r="D20" s="348">
        <f>IF(LEFT(Claims_Deadlines_Website!G20,4)="http","Pass","Needs Review")</f>
        <v/>
      </c>
      <c r="E20" s="348">
        <f>IF(AND(B20="Pass",C20="Pass",D20="Pass"),"Ready","Needs Review")</f>
        <v/>
      </c>
      <c r="F20" s="348">
        <f>IF(E20="Ready","Import-ready row","Check missing or malformed field")</f>
        <v/>
      </c>
    </row>
    <row r="21">
      <c r="A21" s="348" t="inlineStr">
        <is>
          <t>Maryland</t>
        </is>
      </c>
      <c r="B21" s="348">
        <f>IF(COUNTA(Claims_Deadlines_Website!A21:G21)=7,"Pass","Needs Review")</f>
        <v/>
      </c>
      <c r="C21" s="348">
        <f>IF(LEN(Claims_Deadlines_Website!F21)&gt;0,"Pass","Needs Review")</f>
        <v/>
      </c>
      <c r="D21" s="348">
        <f>IF(LEFT(Claims_Deadlines_Website!G21,4)="http","Pass","Needs Review")</f>
        <v/>
      </c>
      <c r="E21" s="348">
        <f>IF(AND(B21="Pass",C21="Pass",D21="Pass"),"Ready","Needs Review")</f>
        <v/>
      </c>
      <c r="F21" s="348">
        <f>IF(E21="Ready","Import-ready row","Check missing or malformed field")</f>
        <v/>
      </c>
    </row>
    <row r="22">
      <c r="A22" s="348" t="inlineStr">
        <is>
          <t>Massachusetts</t>
        </is>
      </c>
      <c r="B22" s="348">
        <f>IF(COUNTA(Claims_Deadlines_Website!A22:G22)=7,"Pass","Needs Review")</f>
        <v/>
      </c>
      <c r="C22" s="348">
        <f>IF(LEN(Claims_Deadlines_Website!F22)&gt;0,"Pass","Needs Review")</f>
        <v/>
      </c>
      <c r="D22" s="348">
        <f>IF(LEFT(Claims_Deadlines_Website!G22,4)="http","Pass","Needs Review")</f>
        <v/>
      </c>
      <c r="E22" s="348">
        <f>IF(AND(B22="Pass",C22="Pass",D22="Pass"),"Ready","Needs Review")</f>
        <v/>
      </c>
      <c r="F22" s="348">
        <f>IF(E22="Ready","Import-ready row","Check missing or malformed field")</f>
        <v/>
      </c>
    </row>
    <row r="23">
      <c r="A23" s="348" t="inlineStr">
        <is>
          <t>Michigan</t>
        </is>
      </c>
      <c r="B23" s="348">
        <f>IF(COUNTA(Claims_Deadlines_Website!A23:G23)=7,"Pass","Needs Review")</f>
        <v/>
      </c>
      <c r="C23" s="348">
        <f>IF(LEN(Claims_Deadlines_Website!F23)&gt;0,"Pass","Needs Review")</f>
        <v/>
      </c>
      <c r="D23" s="348">
        <f>IF(LEFT(Claims_Deadlines_Website!G23,4)="http","Pass","Needs Review")</f>
        <v/>
      </c>
      <c r="E23" s="348">
        <f>IF(AND(B23="Pass",C23="Pass",D23="Pass"),"Ready","Needs Review")</f>
        <v/>
      </c>
      <c r="F23" s="348">
        <f>IF(E23="Ready","Import-ready row","Check missing or malformed field")</f>
        <v/>
      </c>
    </row>
    <row r="24">
      <c r="A24" s="348" t="inlineStr">
        <is>
          <t>Minnesota</t>
        </is>
      </c>
      <c r="B24" s="348">
        <f>IF(COUNTA(Claims_Deadlines_Website!A24:G24)=7,"Pass","Needs Review")</f>
        <v/>
      </c>
      <c r="C24" s="348">
        <f>IF(LEN(Claims_Deadlines_Website!F24)&gt;0,"Pass","Needs Review")</f>
        <v/>
      </c>
      <c r="D24" s="348">
        <f>IF(LEFT(Claims_Deadlines_Website!G24,4)="http","Pass","Needs Review")</f>
        <v/>
      </c>
      <c r="E24" s="348">
        <f>IF(AND(B24="Pass",C24="Pass",D24="Pass"),"Ready","Needs Review")</f>
        <v/>
      </c>
      <c r="F24" s="348">
        <f>IF(E24="Ready","Import-ready row","Check missing or malformed field")</f>
        <v/>
      </c>
    </row>
    <row r="25">
      <c r="A25" s="348" t="inlineStr">
        <is>
          <t>Mississippi</t>
        </is>
      </c>
      <c r="B25" s="348">
        <f>IF(COUNTA(Claims_Deadlines_Website!A25:G25)=7,"Pass","Needs Review")</f>
        <v/>
      </c>
      <c r="C25" s="348">
        <f>IF(LEN(Claims_Deadlines_Website!F25)&gt;0,"Pass","Needs Review")</f>
        <v/>
      </c>
      <c r="D25" s="348">
        <f>IF(LEFT(Claims_Deadlines_Website!G25,4)="http","Pass","Needs Review")</f>
        <v/>
      </c>
      <c r="E25" s="348">
        <f>IF(AND(B25="Pass",C25="Pass",D25="Pass"),"Ready","Needs Review")</f>
        <v/>
      </c>
      <c r="F25" s="348">
        <f>IF(E25="Ready","Import-ready row","Check missing or malformed field")</f>
        <v/>
      </c>
    </row>
    <row r="26">
      <c r="A26" s="348" t="inlineStr">
        <is>
          <t>Missouri</t>
        </is>
      </c>
      <c r="B26" s="348">
        <f>IF(COUNTA(Claims_Deadlines_Website!A26:G26)=7,"Pass","Needs Review")</f>
        <v/>
      </c>
      <c r="C26" s="348">
        <f>IF(LEN(Claims_Deadlines_Website!F26)&gt;0,"Pass","Needs Review")</f>
        <v/>
      </c>
      <c r="D26" s="348">
        <f>IF(LEFT(Claims_Deadlines_Website!G26,4)="http","Pass","Needs Review")</f>
        <v/>
      </c>
      <c r="E26" s="348">
        <f>IF(AND(B26="Pass",C26="Pass",D26="Pass"),"Ready","Needs Review")</f>
        <v/>
      </c>
      <c r="F26" s="348">
        <f>IF(E26="Ready","Import-ready row","Check missing or malformed field")</f>
        <v/>
      </c>
    </row>
    <row r="27">
      <c r="A27" s="348" t="inlineStr">
        <is>
          <t>Montana</t>
        </is>
      </c>
      <c r="B27" s="348">
        <f>IF(COUNTA(Claims_Deadlines_Website!A27:G27)=7,"Pass","Needs Review")</f>
        <v/>
      </c>
      <c r="C27" s="348">
        <f>IF(LEN(Claims_Deadlines_Website!F27)&gt;0,"Pass","Needs Review")</f>
        <v/>
      </c>
      <c r="D27" s="348">
        <f>IF(LEFT(Claims_Deadlines_Website!G27,4)="http","Pass","Needs Review")</f>
        <v/>
      </c>
      <c r="E27" s="348">
        <f>IF(AND(B27="Pass",C27="Pass",D27="Pass"),"Ready","Needs Review")</f>
        <v/>
      </c>
      <c r="F27" s="348">
        <f>IF(E27="Ready","Import-ready row","Check missing or malformed field")</f>
        <v/>
      </c>
    </row>
    <row r="28">
      <c r="A28" s="348" t="inlineStr">
        <is>
          <t>Nebraska</t>
        </is>
      </c>
      <c r="B28" s="348">
        <f>IF(COUNTA(Claims_Deadlines_Website!A28:G28)=7,"Pass","Needs Review")</f>
        <v/>
      </c>
      <c r="C28" s="348">
        <f>IF(LEN(Claims_Deadlines_Website!F28)&gt;0,"Pass","Needs Review")</f>
        <v/>
      </c>
      <c r="D28" s="348">
        <f>IF(LEFT(Claims_Deadlines_Website!G28,4)="http","Pass","Needs Review")</f>
        <v/>
      </c>
      <c r="E28" s="348">
        <f>IF(AND(B28="Pass",C28="Pass",D28="Pass"),"Ready","Needs Review")</f>
        <v/>
      </c>
      <c r="F28" s="348">
        <f>IF(E28="Ready","Import-ready row","Check missing or malformed field")</f>
        <v/>
      </c>
    </row>
    <row r="29">
      <c r="A29" s="348" t="inlineStr">
        <is>
          <t>Nevada</t>
        </is>
      </c>
      <c r="B29" s="348">
        <f>IF(COUNTA(Claims_Deadlines_Website!A29:G29)=7,"Pass","Needs Review")</f>
        <v/>
      </c>
      <c r="C29" s="348">
        <f>IF(LEN(Claims_Deadlines_Website!F29)&gt;0,"Pass","Needs Review")</f>
        <v/>
      </c>
      <c r="D29" s="348">
        <f>IF(LEFT(Claims_Deadlines_Website!G29,4)="http","Pass","Needs Review")</f>
        <v/>
      </c>
      <c r="E29" s="348">
        <f>IF(AND(B29="Pass",C29="Pass",D29="Pass"),"Ready","Needs Review")</f>
        <v/>
      </c>
      <c r="F29" s="348">
        <f>IF(E29="Ready","Import-ready row","Check missing or malformed field")</f>
        <v/>
      </c>
    </row>
    <row r="30">
      <c r="A30" s="348" t="inlineStr">
        <is>
          <t>New Hampshire</t>
        </is>
      </c>
      <c r="B30" s="348">
        <f>IF(COUNTA(Claims_Deadlines_Website!A30:G30)=7,"Pass","Needs Review")</f>
        <v/>
      </c>
      <c r="C30" s="348">
        <f>IF(LEN(Claims_Deadlines_Website!F30)&gt;0,"Pass","Needs Review")</f>
        <v/>
      </c>
      <c r="D30" s="348">
        <f>IF(LEFT(Claims_Deadlines_Website!G30,4)="http","Pass","Needs Review")</f>
        <v/>
      </c>
      <c r="E30" s="348">
        <f>IF(AND(B30="Pass",C30="Pass",D30="Pass"),"Ready","Needs Review")</f>
        <v/>
      </c>
      <c r="F30" s="348">
        <f>IF(E30="Ready","Import-ready row","Check missing or malformed field")</f>
        <v/>
      </c>
    </row>
    <row r="31">
      <c r="A31" s="348" t="inlineStr">
        <is>
          <t>New Jersey</t>
        </is>
      </c>
      <c r="B31" s="348">
        <f>IF(COUNTA(Claims_Deadlines_Website!A31:G31)=7,"Pass","Needs Review")</f>
        <v/>
      </c>
      <c r="C31" s="348">
        <f>IF(LEN(Claims_Deadlines_Website!F31)&gt;0,"Pass","Needs Review")</f>
        <v/>
      </c>
      <c r="D31" s="348">
        <f>IF(LEFT(Claims_Deadlines_Website!G31,4)="http","Pass","Needs Review")</f>
        <v/>
      </c>
      <c r="E31" s="348">
        <f>IF(AND(B31="Pass",C31="Pass",D31="Pass"),"Ready","Needs Review")</f>
        <v/>
      </c>
      <c r="F31" s="348">
        <f>IF(E31="Ready","Import-ready row","Check missing or malformed field")</f>
        <v/>
      </c>
    </row>
    <row r="32">
      <c r="A32" s="348" t="inlineStr">
        <is>
          <t>New Mexico</t>
        </is>
      </c>
      <c r="B32" s="348">
        <f>IF(COUNTA(Claims_Deadlines_Website!A32:G32)=7,"Pass","Needs Review")</f>
        <v/>
      </c>
      <c r="C32" s="348">
        <f>IF(LEN(Claims_Deadlines_Website!F32)&gt;0,"Pass","Needs Review")</f>
        <v/>
      </c>
      <c r="D32" s="348">
        <f>IF(LEFT(Claims_Deadlines_Website!G32,4)="http","Pass","Needs Review")</f>
        <v/>
      </c>
      <c r="E32" s="348">
        <f>IF(AND(B32="Pass",C32="Pass",D32="Pass"),"Ready","Needs Review")</f>
        <v/>
      </c>
      <c r="F32" s="348">
        <f>IF(E32="Ready","Import-ready row","Check missing or malformed field")</f>
        <v/>
      </c>
    </row>
    <row r="33">
      <c r="A33" s="348" t="inlineStr">
        <is>
          <t>New York</t>
        </is>
      </c>
      <c r="B33" s="348">
        <f>IF(COUNTA(Claims_Deadlines_Website!A33:G33)=7,"Pass","Needs Review")</f>
        <v/>
      </c>
      <c r="C33" s="348">
        <f>IF(LEN(Claims_Deadlines_Website!F33)&gt;0,"Pass","Needs Review")</f>
        <v/>
      </c>
      <c r="D33" s="348">
        <f>IF(LEFT(Claims_Deadlines_Website!G33,4)="http","Pass","Needs Review")</f>
        <v/>
      </c>
      <c r="E33" s="348">
        <f>IF(AND(B33="Pass",C33="Pass",D33="Pass"),"Ready","Needs Review")</f>
        <v/>
      </c>
      <c r="F33" s="348">
        <f>IF(E33="Ready","Import-ready row","Check missing or malformed field")</f>
        <v/>
      </c>
    </row>
    <row r="34">
      <c r="A34" s="348" t="inlineStr">
        <is>
          <t>North Carolina</t>
        </is>
      </c>
      <c r="B34" s="348">
        <f>IF(COUNTA(Claims_Deadlines_Website!A34:G34)=7,"Pass","Needs Review")</f>
        <v/>
      </c>
      <c r="C34" s="348">
        <f>IF(LEN(Claims_Deadlines_Website!F34)&gt;0,"Pass","Needs Review")</f>
        <v/>
      </c>
      <c r="D34" s="348">
        <f>IF(LEFT(Claims_Deadlines_Website!G34,4)="http","Pass","Needs Review")</f>
        <v/>
      </c>
      <c r="E34" s="348">
        <f>IF(AND(B34="Pass",C34="Pass",D34="Pass"),"Ready","Needs Review")</f>
        <v/>
      </c>
      <c r="F34" s="348">
        <f>IF(E34="Ready","Import-ready row","Check missing or malformed field")</f>
        <v/>
      </c>
    </row>
    <row r="35">
      <c r="A35" s="348" t="inlineStr">
        <is>
          <t>North Dakota</t>
        </is>
      </c>
      <c r="B35" s="348">
        <f>IF(COUNTA(Claims_Deadlines_Website!A35:G35)=7,"Pass","Needs Review")</f>
        <v/>
      </c>
      <c r="C35" s="348">
        <f>IF(LEN(Claims_Deadlines_Website!F35)&gt;0,"Pass","Needs Review")</f>
        <v/>
      </c>
      <c r="D35" s="348">
        <f>IF(LEFT(Claims_Deadlines_Website!G35,4)="http","Pass","Needs Review")</f>
        <v/>
      </c>
      <c r="E35" s="348">
        <f>IF(AND(B35="Pass",C35="Pass",D35="Pass"),"Ready","Needs Review")</f>
        <v/>
      </c>
      <c r="F35" s="348">
        <f>IF(E35="Ready","Import-ready row","Check missing or malformed field")</f>
        <v/>
      </c>
    </row>
    <row r="36">
      <c r="A36" s="348" t="inlineStr">
        <is>
          <t>Ohio</t>
        </is>
      </c>
      <c r="B36" s="348">
        <f>IF(COUNTA(Claims_Deadlines_Website!A36:G36)=7,"Pass","Needs Review")</f>
        <v/>
      </c>
      <c r="C36" s="348">
        <f>IF(LEN(Claims_Deadlines_Website!F36)&gt;0,"Pass","Needs Review")</f>
        <v/>
      </c>
      <c r="D36" s="348">
        <f>IF(LEFT(Claims_Deadlines_Website!G36,4)="http","Pass","Needs Review")</f>
        <v/>
      </c>
      <c r="E36" s="348">
        <f>IF(AND(B36="Pass",C36="Pass",D36="Pass"),"Ready","Needs Review")</f>
        <v/>
      </c>
      <c r="F36" s="348">
        <f>IF(E36="Ready","Import-ready row","Check missing or malformed field")</f>
        <v/>
      </c>
    </row>
    <row r="37">
      <c r="A37" s="348" t="inlineStr">
        <is>
          <t>Oklahoma</t>
        </is>
      </c>
      <c r="B37" s="348">
        <f>IF(COUNTA(Claims_Deadlines_Website!A37:G37)=7,"Pass","Needs Review")</f>
        <v/>
      </c>
      <c r="C37" s="348">
        <f>IF(LEN(Claims_Deadlines_Website!F37)&gt;0,"Pass","Needs Review")</f>
        <v/>
      </c>
      <c r="D37" s="348">
        <f>IF(LEFT(Claims_Deadlines_Website!G37,4)="http","Pass","Needs Review")</f>
        <v/>
      </c>
      <c r="E37" s="348">
        <f>IF(AND(B37="Pass",C37="Pass",D37="Pass"),"Ready","Needs Review")</f>
        <v/>
      </c>
      <c r="F37" s="348">
        <f>IF(E37="Ready","Import-ready row","Check missing or malformed field")</f>
        <v/>
      </c>
    </row>
    <row r="38">
      <c r="A38" s="348" t="inlineStr">
        <is>
          <t>Oregon</t>
        </is>
      </c>
      <c r="B38" s="348">
        <f>IF(COUNTA(Claims_Deadlines_Website!A38:G38)=7,"Pass","Needs Review")</f>
        <v/>
      </c>
      <c r="C38" s="348">
        <f>IF(LEN(Claims_Deadlines_Website!F38)&gt;0,"Pass","Needs Review")</f>
        <v/>
      </c>
      <c r="D38" s="348">
        <f>IF(LEFT(Claims_Deadlines_Website!G38,4)="http","Pass","Needs Review")</f>
        <v/>
      </c>
      <c r="E38" s="348">
        <f>IF(AND(B38="Pass",C38="Pass",D38="Pass"),"Ready","Needs Review")</f>
        <v/>
      </c>
      <c r="F38" s="348">
        <f>IF(E38="Ready","Import-ready row","Check missing or malformed field")</f>
        <v/>
      </c>
    </row>
    <row r="39">
      <c r="A39" s="348" t="inlineStr">
        <is>
          <t>Pennsylvania</t>
        </is>
      </c>
      <c r="B39" s="348">
        <f>IF(COUNTA(Claims_Deadlines_Website!A39:G39)=7,"Pass","Needs Review")</f>
        <v/>
      </c>
      <c r="C39" s="348">
        <f>IF(LEN(Claims_Deadlines_Website!F39)&gt;0,"Pass","Needs Review")</f>
        <v/>
      </c>
      <c r="D39" s="348">
        <f>IF(LEFT(Claims_Deadlines_Website!G39,4)="http","Pass","Needs Review")</f>
        <v/>
      </c>
      <c r="E39" s="348">
        <f>IF(AND(B39="Pass",C39="Pass",D39="Pass"),"Ready","Needs Review")</f>
        <v/>
      </c>
      <c r="F39" s="348">
        <f>IF(E39="Ready","Import-ready row","Check missing or malformed field")</f>
        <v/>
      </c>
    </row>
    <row r="40">
      <c r="A40" s="348" t="inlineStr">
        <is>
          <t>Rhode Island</t>
        </is>
      </c>
      <c r="B40" s="348">
        <f>IF(COUNTA(Claims_Deadlines_Website!A40:G40)=7,"Pass","Needs Review")</f>
        <v/>
      </c>
      <c r="C40" s="348">
        <f>IF(LEN(Claims_Deadlines_Website!F40)&gt;0,"Pass","Needs Review")</f>
        <v/>
      </c>
      <c r="D40" s="348">
        <f>IF(LEFT(Claims_Deadlines_Website!G40,4)="http","Pass","Needs Review")</f>
        <v/>
      </c>
      <c r="E40" s="348">
        <f>IF(AND(B40="Pass",C40="Pass",D40="Pass"),"Ready","Needs Review")</f>
        <v/>
      </c>
      <c r="F40" s="348">
        <f>IF(E40="Ready","Import-ready row","Check missing or malformed field")</f>
        <v/>
      </c>
    </row>
    <row r="41">
      <c r="A41" s="348" t="inlineStr">
        <is>
          <t>South Carolina</t>
        </is>
      </c>
      <c r="B41" s="348">
        <f>IF(COUNTA(Claims_Deadlines_Website!A41:G41)=7,"Pass","Needs Review")</f>
        <v/>
      </c>
      <c r="C41" s="348">
        <f>IF(LEN(Claims_Deadlines_Website!F41)&gt;0,"Pass","Needs Review")</f>
        <v/>
      </c>
      <c r="D41" s="348">
        <f>IF(LEFT(Claims_Deadlines_Website!G41,4)="http","Pass","Needs Review")</f>
        <v/>
      </c>
      <c r="E41" s="348">
        <f>IF(AND(B41="Pass",C41="Pass",D41="Pass"),"Ready","Needs Review")</f>
        <v/>
      </c>
      <c r="F41" s="348">
        <f>IF(E41="Ready","Import-ready row","Check missing or malformed field")</f>
        <v/>
      </c>
    </row>
    <row r="42">
      <c r="A42" s="348" t="inlineStr">
        <is>
          <t>South Dakota</t>
        </is>
      </c>
      <c r="B42" s="348">
        <f>IF(COUNTA(Claims_Deadlines_Website!A42:G42)=7,"Pass","Needs Review")</f>
        <v/>
      </c>
      <c r="C42" s="348">
        <f>IF(LEN(Claims_Deadlines_Website!F42)&gt;0,"Pass","Needs Review")</f>
        <v/>
      </c>
      <c r="D42" s="348">
        <f>IF(LEFT(Claims_Deadlines_Website!G42,4)="http","Pass","Needs Review")</f>
        <v/>
      </c>
      <c r="E42" s="348">
        <f>IF(AND(B42="Pass",C42="Pass",D42="Pass"),"Ready","Needs Review")</f>
        <v/>
      </c>
      <c r="F42" s="348">
        <f>IF(E42="Ready","Import-ready row","Check missing or malformed field")</f>
        <v/>
      </c>
    </row>
    <row r="43">
      <c r="A43" s="348" t="inlineStr">
        <is>
          <t>Tennessee</t>
        </is>
      </c>
      <c r="B43" s="348">
        <f>IF(COUNTA(Claims_Deadlines_Website!A43:G43)=7,"Pass","Needs Review")</f>
        <v/>
      </c>
      <c r="C43" s="348">
        <f>IF(LEN(Claims_Deadlines_Website!F43)&gt;0,"Pass","Needs Review")</f>
        <v/>
      </c>
      <c r="D43" s="348">
        <f>IF(LEFT(Claims_Deadlines_Website!G43,4)="http","Pass","Needs Review")</f>
        <v/>
      </c>
      <c r="E43" s="348">
        <f>IF(AND(B43="Pass",C43="Pass",D43="Pass"),"Ready","Needs Review")</f>
        <v/>
      </c>
      <c r="F43" s="348">
        <f>IF(E43="Ready","Import-ready row","Check missing or malformed field")</f>
        <v/>
      </c>
    </row>
    <row r="44">
      <c r="A44" s="348" t="inlineStr">
        <is>
          <t>Texas</t>
        </is>
      </c>
      <c r="B44" s="348">
        <f>IF(COUNTA(Claims_Deadlines_Website!A44:G44)=7,"Pass","Needs Review")</f>
        <v/>
      </c>
      <c r="C44" s="348">
        <f>IF(LEN(Claims_Deadlines_Website!F44)&gt;0,"Pass","Needs Review")</f>
        <v/>
      </c>
      <c r="D44" s="348">
        <f>IF(LEFT(Claims_Deadlines_Website!G44,4)="http","Pass","Needs Review")</f>
        <v/>
      </c>
      <c r="E44" s="348">
        <f>IF(AND(B44="Pass",C44="Pass",D44="Pass"),"Ready","Needs Review")</f>
        <v/>
      </c>
      <c r="F44" s="348">
        <f>IF(E44="Ready","Import-ready row","Check missing or malformed field")</f>
        <v/>
      </c>
    </row>
    <row r="45">
      <c r="A45" s="348" t="inlineStr">
        <is>
          <t>Utah</t>
        </is>
      </c>
      <c r="B45" s="348">
        <f>IF(COUNTA(Claims_Deadlines_Website!A45:G45)=7,"Pass","Needs Review")</f>
        <v/>
      </c>
      <c r="C45" s="348">
        <f>IF(LEN(Claims_Deadlines_Website!F45)&gt;0,"Pass","Needs Review")</f>
        <v/>
      </c>
      <c r="D45" s="348">
        <f>IF(LEFT(Claims_Deadlines_Website!G45,4)="http","Pass","Needs Review")</f>
        <v/>
      </c>
      <c r="E45" s="348">
        <f>IF(AND(B45="Pass",C45="Pass",D45="Pass"),"Ready","Needs Review")</f>
        <v/>
      </c>
      <c r="F45" s="348">
        <f>IF(E45="Ready","Import-ready row","Check missing or malformed field")</f>
        <v/>
      </c>
    </row>
    <row r="46">
      <c r="A46" s="348" t="inlineStr">
        <is>
          <t>Vermont</t>
        </is>
      </c>
      <c r="B46" s="348">
        <f>IF(COUNTA(Claims_Deadlines_Website!A46:G46)=7,"Pass","Needs Review")</f>
        <v/>
      </c>
      <c r="C46" s="348">
        <f>IF(LEN(Claims_Deadlines_Website!F46)&gt;0,"Pass","Needs Review")</f>
        <v/>
      </c>
      <c r="D46" s="348">
        <f>IF(LEFT(Claims_Deadlines_Website!G46,4)="http","Pass","Needs Review")</f>
        <v/>
      </c>
      <c r="E46" s="348">
        <f>IF(AND(B46="Pass",C46="Pass",D46="Pass"),"Ready","Needs Review")</f>
        <v/>
      </c>
      <c r="F46" s="348">
        <f>IF(E46="Ready","Import-ready row","Check missing or malformed field")</f>
        <v/>
      </c>
    </row>
    <row r="47">
      <c r="A47" s="348" t="inlineStr">
        <is>
          <t>Virginia</t>
        </is>
      </c>
      <c r="B47" s="348">
        <f>IF(COUNTA(Claims_Deadlines_Website!A47:G47)=7,"Pass","Needs Review")</f>
        <v/>
      </c>
      <c r="C47" s="348">
        <f>IF(LEN(Claims_Deadlines_Website!F47)&gt;0,"Pass","Needs Review")</f>
        <v/>
      </c>
      <c r="D47" s="348">
        <f>IF(LEFT(Claims_Deadlines_Website!G47,4)="http","Pass","Needs Review")</f>
        <v/>
      </c>
      <c r="E47" s="348">
        <f>IF(AND(B47="Pass",C47="Pass",D47="Pass"),"Ready","Needs Review")</f>
        <v/>
      </c>
      <c r="F47" s="348">
        <f>IF(E47="Ready","Import-ready row","Check missing or malformed field")</f>
        <v/>
      </c>
    </row>
    <row r="48">
      <c r="A48" s="348" t="inlineStr">
        <is>
          <t>Washington</t>
        </is>
      </c>
      <c r="B48" s="348">
        <f>IF(COUNTA(Claims_Deadlines_Website!A48:G48)=7,"Pass","Needs Review")</f>
        <v/>
      </c>
      <c r="C48" s="348">
        <f>IF(LEN(Claims_Deadlines_Website!F48)&gt;0,"Pass","Needs Review")</f>
        <v/>
      </c>
      <c r="D48" s="348">
        <f>IF(LEFT(Claims_Deadlines_Website!G48,4)="http","Pass","Needs Review")</f>
        <v/>
      </c>
      <c r="E48" s="348">
        <f>IF(AND(B48="Pass",C48="Pass",D48="Pass"),"Ready","Needs Review")</f>
        <v/>
      </c>
      <c r="F48" s="348">
        <f>IF(E48="Ready","Import-ready row","Check missing or malformed field")</f>
        <v/>
      </c>
    </row>
    <row r="49">
      <c r="A49" s="348" t="inlineStr">
        <is>
          <t>West Virginia</t>
        </is>
      </c>
      <c r="B49" s="348">
        <f>IF(COUNTA(Claims_Deadlines_Website!A49:G49)=7,"Pass","Needs Review")</f>
        <v/>
      </c>
      <c r="C49" s="348">
        <f>IF(LEN(Claims_Deadlines_Website!F49)&gt;0,"Pass","Needs Review")</f>
        <v/>
      </c>
      <c r="D49" s="348">
        <f>IF(LEFT(Claims_Deadlines_Website!G49,4)="http","Pass","Needs Review")</f>
        <v/>
      </c>
      <c r="E49" s="348">
        <f>IF(AND(B49="Pass",C49="Pass",D49="Pass"),"Ready","Needs Review")</f>
        <v/>
      </c>
      <c r="F49" s="348">
        <f>IF(E49="Ready","Import-ready row","Check missing or malformed field")</f>
        <v/>
      </c>
    </row>
    <row r="50">
      <c r="A50" s="348" t="inlineStr">
        <is>
          <t>Wisconsin</t>
        </is>
      </c>
      <c r="B50" s="348">
        <f>IF(COUNTA(Claims_Deadlines_Website!A50:G50)=7,"Pass","Needs Review")</f>
        <v/>
      </c>
      <c r="C50" s="348">
        <f>IF(LEN(Claims_Deadlines_Website!F50)&gt;0,"Pass","Needs Review")</f>
        <v/>
      </c>
      <c r="D50" s="348">
        <f>IF(LEFT(Claims_Deadlines_Website!G50,4)="http","Pass","Needs Review")</f>
        <v/>
      </c>
      <c r="E50" s="348">
        <f>IF(AND(B50="Pass",C50="Pass",D50="Pass"),"Ready","Needs Review")</f>
        <v/>
      </c>
      <c r="F50" s="348">
        <f>IF(E50="Ready","Import-ready row","Check missing or malformed field")</f>
        <v/>
      </c>
    </row>
    <row r="51">
      <c r="A51" s="348" t="inlineStr">
        <is>
          <t>Wyoming</t>
        </is>
      </c>
      <c r="B51" s="348">
        <f>IF(COUNTA(Claims_Deadlines_Website!A51:G51)=7,"Pass","Needs Review")</f>
        <v/>
      </c>
      <c r="C51" s="348">
        <f>IF(LEN(Claims_Deadlines_Website!F51)&gt;0,"Pass","Needs Review")</f>
        <v/>
      </c>
      <c r="D51" s="348">
        <f>IF(LEFT(Claims_Deadlines_Website!G51,4)="http","Pass","Needs Review")</f>
        <v/>
      </c>
      <c r="E51" s="348">
        <f>IF(AND(B51="Pass",C51="Pass",D51="Pass"),"Ready","Needs Review")</f>
        <v/>
      </c>
      <c r="F51" s="348">
        <f>IF(E51="Ready","Import-ready row","Check missing or malformed field")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style="355" min="1" max="1"/>
    <col width="18" customWidth="1" style="355" min="2" max="2"/>
    <col width="16" customWidth="1" style="355" min="3" max="3"/>
    <col width="16" customWidth="1" style="355" min="4" max="4"/>
  </cols>
  <sheetData>
    <row r="1">
      <c r="A1" s="438" t="inlineStr">
        <is>
          <t>Check</t>
        </is>
      </c>
      <c r="B1" s="438" t="inlineStr">
        <is>
          <t>Formula/Value</t>
        </is>
      </c>
      <c r="C1" s="438" t="inlineStr">
        <is>
          <t>Expected</t>
        </is>
      </c>
      <c r="D1" s="438" t="inlineStr">
        <is>
          <t>Status</t>
        </is>
      </c>
    </row>
    <row r="2">
      <c r="A2" s="348" t="inlineStr">
        <is>
          <t>State Count</t>
        </is>
      </c>
      <c r="B2" s="348">
        <f>COUNTA(Claims_Deadlines_Website!A2:A51)</f>
        <v/>
      </c>
      <c r="C2" s="348" t="n">
        <v>50</v>
      </c>
      <c r="D2" s="348">
        <f>IF(B2=C2,"Pass","Needs Review")</f>
        <v/>
      </c>
    </row>
    <row r="3">
      <c r="A3" s="348" t="inlineStr">
        <is>
          <t>Unique State Count</t>
        </is>
      </c>
      <c r="B3" s="348">
        <f>COUNTA(UNIQUE(Claims_Deadlines_Website!A2:A51))</f>
        <v/>
      </c>
      <c r="C3" s="348" t="n">
        <v>50</v>
      </c>
      <c r="D3" s="348">
        <f>IF(B3=C3,"Pass","Needs Review")</f>
        <v/>
      </c>
    </row>
    <row r="4">
      <c r="A4" s="348" t="inlineStr">
        <is>
          <t>Missing Citation Count</t>
        </is>
      </c>
      <c r="B4" s="348">
        <f>COUNTBLANK(Claims_Deadlines_Website!F2:F51)</f>
        <v/>
      </c>
      <c r="C4" s="348" t="n">
        <v>0</v>
      </c>
      <c r="D4" s="348">
        <f>IF(B4=C4,"Pass","Needs Review")</f>
        <v/>
      </c>
    </row>
    <row r="5">
      <c r="A5" s="348" t="inlineStr">
        <is>
          <t>Missing URL Count</t>
        </is>
      </c>
      <c r="B5" s="348">
        <f>COUNTBLANK(Claims_Deadlines_Website!G2:G51)</f>
        <v/>
      </c>
      <c r="C5" s="348" t="n">
        <v>0</v>
      </c>
      <c r="D5" s="348">
        <f>IF(B5=C5,"Pass","Needs Review")</f>
        <v/>
      </c>
    </row>
    <row r="6">
      <c r="A6" s="348" t="inlineStr">
        <is>
          <t>Release Ready Count</t>
        </is>
      </c>
      <c r="B6" s="348">
        <f>COUNTIF(Claims_Deadlines_Release_Audit!E2:E51,"Ready")</f>
        <v/>
      </c>
      <c r="C6" s="348" t="n">
        <v>50</v>
      </c>
      <c r="D6" s="348">
        <f>IF(B6=C6,"Pass","Needs Review")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355" min="1" max="1"/>
    <col width="90" customWidth="1" style="355" min="2" max="2"/>
  </cols>
  <sheetData>
    <row r="1">
      <c r="A1" s="441" t="inlineStr">
        <is>
          <t>C8 Website Integration Preparation</t>
        </is>
      </c>
      <c r="B1" s="441" t="str"/>
    </row>
    <row r="2">
      <c r="A2" s="338" t="inlineStr">
        <is>
          <t>Purpose</t>
        </is>
      </c>
      <c r="B2" s="338" t="inlineStr">
        <is>
          <t>Adds an import-ready Claims_Deadlines_Website sheet without redesigning the approved website UI.</t>
        </is>
      </c>
    </row>
    <row r="3">
      <c r="A3" s="338" t="inlineStr">
        <is>
          <t>Source Sheet</t>
        </is>
      </c>
      <c r="B3" s="338" t="inlineStr">
        <is>
          <t>Claims_C7_Website_Ready</t>
        </is>
      </c>
    </row>
    <row r="4">
      <c r="A4" s="338" t="inlineStr">
        <is>
          <t>Primary Output</t>
        </is>
      </c>
      <c r="B4" s="338" t="inlineStr">
        <is>
          <t>Claims_Deadlines_Website</t>
        </is>
      </c>
    </row>
    <row r="5">
      <c r="A5" s="338" t="inlineStr">
        <is>
          <t>Validation</t>
        </is>
      </c>
      <c r="B5" s="338" t="inlineStr">
        <is>
          <t>Claims_Deadlines_Validation and Claims_Deadlines_Release_Audit</t>
        </is>
      </c>
    </row>
    <row r="6">
      <c r="A6" s="338" t="inlineStr">
        <is>
          <t>Packaging</t>
        </is>
      </c>
      <c r="B6" s="338" t="inlineStr">
        <is>
          <t>Clean website ZIP removes old phase reports and replaces Auto_Insurance_Requirements.xlsx with this workbook.</t>
        </is>
      </c>
    </row>
    <row r="7">
      <c r="A7" s="338" t="inlineStr">
        <is>
          <t>Project Rule</t>
        </is>
      </c>
      <c r="B7" s="338" t="inlineStr">
        <is>
          <t>Spreadsheet remains source of truth; government/primary sources preferred; concise public-facing notes.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2.64999961853027" customWidth="1" style="355" min="1" max="1"/>
    <col width="11.17000007629395" customWidth="1" style="355" min="2" max="2"/>
    <col width="13.1899995803833" customWidth="1" style="355" min="3" max="3"/>
    <col width="9.960000038146973" customWidth="1" style="355" min="4" max="4"/>
    <col width="20.45999908447266" customWidth="1" style="355" min="5" max="5"/>
    <col width="11.56999969482422" customWidth="1" style="355" min="6" max="6"/>
    <col width="178.6000061035156" customWidth="1" style="355" min="7" max="7"/>
  </cols>
  <sheetData>
    <row r="1">
      <c r="A1" s="449" t="inlineStr">
        <is>
          <t>State</t>
        </is>
      </c>
      <c r="B1" s="449" t="inlineStr">
        <is>
          <t>Audit Status</t>
        </is>
      </c>
      <c r="C1" s="449" t="inlineStr">
        <is>
          <t>Citation Verified</t>
        </is>
      </c>
      <c r="D1" s="449" t="inlineStr">
        <is>
          <t>URL Verified</t>
        </is>
      </c>
      <c r="E1" s="449" t="inlineStr">
        <is>
          <t>Deadline/Trigger Verified</t>
        </is>
      </c>
      <c r="F1" s="449" t="inlineStr">
        <is>
          <t>Scope Verified</t>
        </is>
      </c>
      <c r="G1" s="449" t="inlineStr">
        <is>
          <t>Issue / Resolution</t>
        </is>
      </c>
      <c r="H1" s="348" t="n"/>
      <c r="I1" s="348" t="n"/>
      <c r="J1" s="348" t="n"/>
      <c r="K1" s="348" t="n"/>
      <c r="L1" s="348" t="n"/>
      <c r="M1" s="348" t="n"/>
      <c r="N1" s="348" t="n"/>
      <c r="O1" s="348" t="n"/>
      <c r="P1" s="348" t="n"/>
      <c r="Q1" s="348" t="n"/>
      <c r="R1" s="348" t="n"/>
      <c r="S1" s="348" t="n"/>
      <c r="T1" s="348" t="n"/>
      <c r="U1" s="348" t="n"/>
      <c r="V1" s="348" t="n"/>
      <c r="W1" s="348" t="n"/>
      <c r="X1" s="348" t="n"/>
      <c r="Y1" s="348" t="n"/>
      <c r="Z1" s="348" t="n"/>
    </row>
    <row r="2">
      <c r="A2" s="338" t="inlineStr">
        <is>
          <t>Alabama</t>
        </is>
      </c>
      <c r="B2" s="338" t="inlineStr">
        <is>
          <t>Pass</t>
        </is>
      </c>
      <c r="C2" s="338" t="inlineStr">
        <is>
          <t>Yes</t>
        </is>
      </c>
      <c r="D2" s="338" t="inlineStr">
        <is>
          <t>Yes</t>
        </is>
      </c>
      <c r="E2" s="338" t="inlineStr">
        <is>
          <t>Yes</t>
        </is>
      </c>
      <c r="F2" s="338" t="inlineStr">
        <is>
          <t>Yes</t>
        </is>
      </c>
      <c r="G2" s="338" t="inlineStr">
        <is>
          <t>Litigation-only row; no pre-suit auto policy-limits disclosure statute identified in current worksheet. Discovery-rule citation retained.</t>
        </is>
      </c>
    </row>
    <row r="3">
      <c r="A3" s="338" t="inlineStr">
        <is>
          <t>Alaska</t>
        </is>
      </c>
      <c r="B3" s="338" t="inlineStr">
        <is>
          <t>Pass</t>
        </is>
      </c>
      <c r="C3" s="338" t="inlineStr">
        <is>
          <t>Yes</t>
        </is>
      </c>
      <c r="D3" s="338" t="inlineStr">
        <is>
          <t>Yes</t>
        </is>
      </c>
      <c r="E3" s="338" t="inlineStr">
        <is>
          <t>Yes</t>
        </is>
      </c>
      <c r="F3" s="338" t="inlineStr">
        <is>
          <t>Yes</t>
        </is>
      </c>
      <c r="G3" s="338" t="inlineStr">
        <is>
          <t>Litigation-only row; no pre-suit auto policy-limits disclosure statute identified in current worksheet. Discovery-rule citation retained.</t>
        </is>
      </c>
    </row>
    <row r="4">
      <c r="A4" s="338" t="inlineStr">
        <is>
          <t>Arizona</t>
        </is>
      </c>
      <c r="B4" s="338" t="inlineStr">
        <is>
          <t>Pass</t>
        </is>
      </c>
      <c r="C4" s="338" t="inlineStr">
        <is>
          <t>Yes</t>
        </is>
      </c>
      <c r="D4" s="338" t="inlineStr">
        <is>
          <t>Yes</t>
        </is>
      </c>
      <c r="E4" s="338" t="inlineStr">
        <is>
          <t>Yes</t>
        </is>
      </c>
      <c r="F4" s="338" t="inlineStr">
        <is>
          <t>Yes</t>
        </is>
      </c>
      <c r="G4" s="338" t="inlineStr">
        <is>
          <t>Litigation-only row; no pre-suit auto policy-limits disclosure statute identified in current worksheet. Discovery-rule citation retained.</t>
        </is>
      </c>
    </row>
    <row r="5">
      <c r="A5" s="338" t="inlineStr">
        <is>
          <t>Arkansas</t>
        </is>
      </c>
      <c r="B5" s="338" t="inlineStr">
        <is>
          <t>Pass</t>
        </is>
      </c>
      <c r="C5" s="338" t="inlineStr">
        <is>
          <t>Yes</t>
        </is>
      </c>
      <c r="D5" s="338" t="inlineStr">
        <is>
          <t>Yes</t>
        </is>
      </c>
      <c r="E5" s="338" t="inlineStr">
        <is>
          <t>Yes</t>
        </is>
      </c>
      <c r="F5" s="338" t="inlineStr">
        <is>
          <t>Yes</t>
        </is>
      </c>
      <c r="G5" s="338" t="inlineStr">
        <is>
          <t>Litigation-only row; no pre-suit auto policy-limits disclosure statute identified in current worksheet. Discovery-rule citation retained.</t>
        </is>
      </c>
    </row>
    <row r="6">
      <c r="A6" s="338" t="inlineStr">
        <is>
          <t>California</t>
        </is>
      </c>
      <c r="B6" s="338" t="inlineStr">
        <is>
          <t>Pass</t>
        </is>
      </c>
      <c r="C6" s="338" t="inlineStr">
        <is>
          <t>Yes</t>
        </is>
      </c>
      <c r="D6" s="338" t="inlineStr">
        <is>
          <t>Yes</t>
        </is>
      </c>
      <c r="E6" s="338" t="inlineStr">
        <is>
          <t>Yes</t>
        </is>
      </c>
      <c r="F6" s="338" t="inlineStr">
        <is>
          <t>Yes</t>
        </is>
      </c>
      <c r="G6" s="338" t="inlineStr">
        <is>
          <t>Litigation-only row; no pre-suit auto policy-limits disclosure statute identified in current worksheet. Discovery-rule citation retained.</t>
        </is>
      </c>
    </row>
    <row r="7">
      <c r="A7" s="338" t="inlineStr">
        <is>
          <t>Colorado</t>
        </is>
      </c>
      <c r="B7" s="338" t="inlineStr">
        <is>
          <t>Pass</t>
        </is>
      </c>
      <c r="C7" s="338" t="inlineStr">
        <is>
          <t>Yes</t>
        </is>
      </c>
      <c r="D7" s="338" t="inlineStr">
        <is>
          <t>Yes</t>
        </is>
      </c>
      <c r="E7" s="338" t="inlineStr">
        <is>
          <t>Yes</t>
        </is>
      </c>
      <c r="F7" s="338" t="inlineStr">
        <is>
          <t>Yes</t>
        </is>
      </c>
      <c r="G7" s="338" t="inlineStr">
        <is>
          <t>Pre-suit or statutory disclosure row retained; deadline/scope should remain tied to written request and listed statutory conditions.</t>
        </is>
      </c>
    </row>
    <row r="8">
      <c r="A8" s="338" t="inlineStr">
        <is>
          <t>Connecticut</t>
        </is>
      </c>
      <c r="B8" s="338" t="inlineStr">
        <is>
          <t>Pass</t>
        </is>
      </c>
      <c r="C8" s="338" t="inlineStr">
        <is>
          <t>Yes</t>
        </is>
      </c>
      <c r="D8" s="338" t="inlineStr">
        <is>
          <t>Yes</t>
        </is>
      </c>
      <c r="E8" s="338" t="inlineStr">
        <is>
          <t>Yes</t>
        </is>
      </c>
      <c r="F8" s="338" t="inlineStr">
        <is>
          <t>Yes</t>
        </is>
      </c>
      <c r="G8" s="338" t="inlineStr">
        <is>
          <t>Pre-suit or statutory disclosure row retained; deadline/scope should remain tied to written request and listed statutory conditions.</t>
        </is>
      </c>
    </row>
    <row r="9">
      <c r="A9" s="338" t="inlineStr">
        <is>
          <t>Delaware</t>
        </is>
      </c>
      <c r="B9" s="338" t="inlineStr">
        <is>
          <t>Pass</t>
        </is>
      </c>
      <c r="C9" s="338" t="inlineStr">
        <is>
          <t>Yes</t>
        </is>
      </c>
      <c r="D9" s="338" t="inlineStr">
        <is>
          <t>Yes</t>
        </is>
      </c>
      <c r="E9" s="338" t="inlineStr">
        <is>
          <t>Yes</t>
        </is>
      </c>
      <c r="F9" s="338" t="inlineStr">
        <is>
          <t>Yes</t>
        </is>
      </c>
      <c r="G9" s="338" t="inlineStr">
        <is>
          <t>Conditional disclosure row; trigger should remain visible in Notes and not be simplified to unconditional disclosure.</t>
        </is>
      </c>
    </row>
    <row r="10">
      <c r="A10" s="338" t="inlineStr">
        <is>
          <t>Florida</t>
        </is>
      </c>
      <c r="B10" s="338" t="inlineStr">
        <is>
          <t>Pass</t>
        </is>
      </c>
      <c r="C10" s="338" t="inlineStr">
        <is>
          <t>Yes</t>
        </is>
      </c>
      <c r="D10" s="338" t="inlineStr">
        <is>
          <t>Yes</t>
        </is>
      </c>
      <c r="E10" s="338" t="inlineStr">
        <is>
          <t>Yes</t>
        </is>
      </c>
      <c r="F10" s="338" t="inlineStr">
        <is>
          <t>Yes</t>
        </is>
      </c>
      <c r="G10" s="338" t="inlineStr">
        <is>
          <t>Pre-suit or statutory disclosure row retained; deadline/scope should remain tied to written request and listed statutory conditions.</t>
        </is>
      </c>
    </row>
    <row r="11">
      <c r="A11" s="338" t="inlineStr">
        <is>
          <t>Georgia</t>
        </is>
      </c>
      <c r="B11" s="338" t="inlineStr">
        <is>
          <t>Needs Review</t>
        </is>
      </c>
      <c r="C11" s="338" t="inlineStr">
        <is>
          <t>Yes</t>
        </is>
      </c>
      <c r="D11" s="338" t="inlineStr">
        <is>
          <t>Partial</t>
        </is>
      </c>
      <c r="E11" s="338" t="inlineStr">
        <is>
          <t>Yes</t>
        </is>
      </c>
      <c r="F11" s="338" t="inlineStr">
        <is>
          <t>Yes</t>
        </is>
      </c>
      <c r="G11" s="338" t="inlineStr">
        <is>
          <t>Substantive citation appears correct, but the available URL is Justia because official Georgia Code access commonly routes through licensed platforms. Keep as source-hardening item unless an official free code URL is located.</t>
        </is>
      </c>
    </row>
    <row r="12">
      <c r="A12" s="338" t="inlineStr">
        <is>
          <t>Hawaii</t>
        </is>
      </c>
      <c r="B12" s="338" t="inlineStr">
        <is>
          <t>Pass</t>
        </is>
      </c>
      <c r="C12" s="338" t="inlineStr">
        <is>
          <t>Yes</t>
        </is>
      </c>
      <c r="D12" s="338" t="inlineStr">
        <is>
          <t>Yes</t>
        </is>
      </c>
      <c r="E12" s="338" t="inlineStr">
        <is>
          <t>Yes</t>
        </is>
      </c>
      <c r="F12" s="338" t="inlineStr">
        <is>
          <t>Yes</t>
        </is>
      </c>
      <c r="G12" s="338" t="inlineStr">
        <is>
          <t>Litigation-only row; no pre-suit auto policy-limits disclosure statute identified in current worksheet. Discovery-rule citation retained.</t>
        </is>
      </c>
    </row>
    <row r="13">
      <c r="A13" s="338" t="inlineStr">
        <is>
          <t>Idaho</t>
        </is>
      </c>
      <c r="B13" s="338" t="inlineStr">
        <is>
          <t>Pass</t>
        </is>
      </c>
      <c r="C13" s="338" t="inlineStr">
        <is>
          <t>Yes</t>
        </is>
      </c>
      <c r="D13" s="338" t="inlineStr">
        <is>
          <t>Yes</t>
        </is>
      </c>
      <c r="E13" s="338" t="inlineStr">
        <is>
          <t>Yes</t>
        </is>
      </c>
      <c r="F13" s="338" t="inlineStr">
        <is>
          <t>Yes</t>
        </is>
      </c>
      <c r="G13" s="338" t="inlineStr">
        <is>
          <t>Litigation-only row; no pre-suit auto policy-limits disclosure statute identified in current worksheet. Discovery-rule citation retained.</t>
        </is>
      </c>
    </row>
    <row r="14">
      <c r="A14" s="338" t="inlineStr">
        <is>
          <t>Illinois</t>
        </is>
      </c>
      <c r="B14" s="338" t="inlineStr">
        <is>
          <t>Pass</t>
        </is>
      </c>
      <c r="C14" s="338" t="inlineStr">
        <is>
          <t>Yes</t>
        </is>
      </c>
      <c r="D14" s="338" t="inlineStr">
        <is>
          <t>Yes</t>
        </is>
      </c>
      <c r="E14" s="338" t="inlineStr">
        <is>
          <t>Yes</t>
        </is>
      </c>
      <c r="F14" s="338" t="inlineStr">
        <is>
          <t>Yes</t>
        </is>
      </c>
      <c r="G14" s="338" t="inlineStr">
        <is>
          <t>Conditional disclosure row; trigger should remain visible in Notes and not be simplified to unconditional disclosure.</t>
        </is>
      </c>
    </row>
    <row r="15">
      <c r="A15" s="338" t="inlineStr">
        <is>
          <t>Indiana</t>
        </is>
      </c>
      <c r="B15" s="338" t="inlineStr">
        <is>
          <t>Pass</t>
        </is>
      </c>
      <c r="C15" s="338" t="inlineStr">
        <is>
          <t>Yes</t>
        </is>
      </c>
      <c r="D15" s="338" t="inlineStr">
        <is>
          <t>Yes</t>
        </is>
      </c>
      <c r="E15" s="338" t="inlineStr">
        <is>
          <t>Yes</t>
        </is>
      </c>
      <c r="F15" s="338" t="inlineStr">
        <is>
          <t>Yes</t>
        </is>
      </c>
      <c r="G15" s="338" t="inlineStr">
        <is>
          <t>Litigation-only row; no pre-suit auto policy-limits disclosure statute identified in current worksheet. Discovery-rule citation retained.</t>
        </is>
      </c>
    </row>
    <row r="16">
      <c r="A16" s="338" t="inlineStr">
        <is>
          <t>Iowa</t>
        </is>
      </c>
      <c r="B16" s="338" t="inlineStr">
        <is>
          <t>Pass</t>
        </is>
      </c>
      <c r="C16" s="338" t="inlineStr">
        <is>
          <t>Yes</t>
        </is>
      </c>
      <c r="D16" s="338" t="inlineStr">
        <is>
          <t>Yes</t>
        </is>
      </c>
      <c r="E16" s="338" t="inlineStr">
        <is>
          <t>Yes</t>
        </is>
      </c>
      <c r="F16" s="338" t="inlineStr">
        <is>
          <t>Yes</t>
        </is>
      </c>
      <c r="G16" s="338" t="inlineStr">
        <is>
          <t>Litigation-only row; no pre-suit auto policy-limits disclosure statute identified in current worksheet. Discovery-rule citation retained.</t>
        </is>
      </c>
    </row>
    <row r="17">
      <c r="A17" s="338" t="inlineStr">
        <is>
          <t>Kansas</t>
        </is>
      </c>
      <c r="B17" s="338" t="inlineStr">
        <is>
          <t>Pass</t>
        </is>
      </c>
      <c r="C17" s="338" t="inlineStr">
        <is>
          <t>Yes</t>
        </is>
      </c>
      <c r="D17" s="338" t="inlineStr">
        <is>
          <t>Yes</t>
        </is>
      </c>
      <c r="E17" s="338" t="inlineStr">
        <is>
          <t>Yes</t>
        </is>
      </c>
      <c r="F17" s="338" t="inlineStr">
        <is>
          <t>Yes</t>
        </is>
      </c>
      <c r="G17" s="338" t="inlineStr">
        <is>
          <t>Litigation-only row; no pre-suit auto policy-limits disclosure statute identified in current worksheet. Discovery-rule citation retained.</t>
        </is>
      </c>
    </row>
    <row r="18">
      <c r="A18" s="338" t="inlineStr">
        <is>
          <t>Kentucky</t>
        </is>
      </c>
      <c r="B18" s="338" t="inlineStr">
        <is>
          <t>Needs Review</t>
        </is>
      </c>
      <c r="C18" s="338" t="inlineStr">
        <is>
          <t>Yes</t>
        </is>
      </c>
      <c r="D18" s="338" t="inlineStr">
        <is>
          <t>Partial</t>
        </is>
      </c>
      <c r="E18" s="338" t="inlineStr">
        <is>
          <t>Yes</t>
        </is>
      </c>
      <c r="F18" s="338" t="inlineStr">
        <is>
          <t>Yes</t>
        </is>
      </c>
      <c r="G18" s="338" t="inlineStr">
        <is>
          <t>Kentucky rule URL uses the Kentucky Rules Westlaw government portal. Treat as acceptable court-rule access but not a plain .gov code page.</t>
        </is>
      </c>
    </row>
    <row r="19">
      <c r="A19" s="338" t="inlineStr">
        <is>
          <t>Louisiana</t>
        </is>
      </c>
      <c r="B19" s="338" t="inlineStr">
        <is>
          <t>Pass</t>
        </is>
      </c>
      <c r="C19" s="338" t="inlineStr">
        <is>
          <t>Yes</t>
        </is>
      </c>
      <c r="D19" s="338" t="inlineStr">
        <is>
          <t>Yes</t>
        </is>
      </c>
      <c r="E19" s="338" t="inlineStr">
        <is>
          <t>Yes</t>
        </is>
      </c>
      <c r="F19" s="338" t="inlineStr">
        <is>
          <t>Yes</t>
        </is>
      </c>
      <c r="G19" s="338" t="inlineStr">
        <is>
          <t>Litigation-only row; no pre-suit auto policy-limits disclosure statute identified in current worksheet. Discovery-rule citation retained.</t>
        </is>
      </c>
    </row>
    <row r="20">
      <c r="A20" s="338" t="inlineStr">
        <is>
          <t>Maine</t>
        </is>
      </c>
      <c r="B20" s="338" t="inlineStr">
        <is>
          <t>Pass</t>
        </is>
      </c>
      <c r="C20" s="338" t="inlineStr">
        <is>
          <t>Yes</t>
        </is>
      </c>
      <c r="D20" s="338" t="inlineStr">
        <is>
          <t>Yes</t>
        </is>
      </c>
      <c r="E20" s="338" t="inlineStr">
        <is>
          <t>Yes</t>
        </is>
      </c>
      <c r="F20" s="338" t="inlineStr">
        <is>
          <t>Yes</t>
        </is>
      </c>
      <c r="G20" s="338" t="inlineStr">
        <is>
          <t>Pre-suit or statutory disclosure row retained; deadline/scope should remain tied to written request and listed statutory conditions.</t>
        </is>
      </c>
    </row>
    <row r="21">
      <c r="A21" s="338" t="inlineStr">
        <is>
          <t>Maryland</t>
        </is>
      </c>
      <c r="B21" s="338" t="inlineStr">
        <is>
          <t>Pass</t>
        </is>
      </c>
      <c r="C21" s="338" t="inlineStr">
        <is>
          <t>Yes</t>
        </is>
      </c>
      <c r="D21" s="338" t="inlineStr">
        <is>
          <t>Yes</t>
        </is>
      </c>
      <c r="E21" s="338" t="inlineStr">
        <is>
          <t>Yes</t>
        </is>
      </c>
      <c r="F21" s="338" t="inlineStr">
        <is>
          <t>Yes</t>
        </is>
      </c>
      <c r="G21" s="338" t="inlineStr">
        <is>
          <t>Conditional disclosure row; trigger should remain visible in Notes and not be simplified to unconditional disclosure.</t>
        </is>
      </c>
    </row>
    <row r="22">
      <c r="A22" s="338" t="inlineStr">
        <is>
          <t>Massachusetts</t>
        </is>
      </c>
      <c r="B22" s="338" t="inlineStr">
        <is>
          <t>Pass</t>
        </is>
      </c>
      <c r="C22" s="338" t="inlineStr">
        <is>
          <t>Yes</t>
        </is>
      </c>
      <c r="D22" s="338" t="inlineStr">
        <is>
          <t>Yes</t>
        </is>
      </c>
      <c r="E22" s="338" t="inlineStr">
        <is>
          <t>Yes</t>
        </is>
      </c>
      <c r="F22" s="338" t="inlineStr">
        <is>
          <t>Yes</t>
        </is>
      </c>
      <c r="G22" s="338" t="inlineStr">
        <is>
          <t>Pre-suit or statutory disclosure row retained; deadline/scope should remain tied to written request and listed statutory conditions.</t>
        </is>
      </c>
    </row>
    <row r="23">
      <c r="A23" s="338" t="inlineStr">
        <is>
          <t>Michigan</t>
        </is>
      </c>
      <c r="B23" s="338" t="inlineStr">
        <is>
          <t>Pass</t>
        </is>
      </c>
      <c r="C23" s="338" t="inlineStr">
        <is>
          <t>Yes</t>
        </is>
      </c>
      <c r="D23" s="338" t="inlineStr">
        <is>
          <t>Yes</t>
        </is>
      </c>
      <c r="E23" s="338" t="inlineStr">
        <is>
          <t>Yes</t>
        </is>
      </c>
      <c r="F23" s="338" t="inlineStr">
        <is>
          <t>Yes</t>
        </is>
      </c>
      <c r="G23" s="338" t="inlineStr">
        <is>
          <t>Litigation-only row; no pre-suit auto policy-limits disclosure statute identified in current worksheet. Discovery-rule citation retained.</t>
        </is>
      </c>
    </row>
    <row r="24">
      <c r="A24" s="338" t="inlineStr">
        <is>
          <t>Minnesota</t>
        </is>
      </c>
      <c r="B24" s="338" t="inlineStr">
        <is>
          <t>Pass</t>
        </is>
      </c>
      <c r="C24" s="338" t="inlineStr">
        <is>
          <t>Yes</t>
        </is>
      </c>
      <c r="D24" s="338" t="inlineStr">
        <is>
          <t>Yes</t>
        </is>
      </c>
      <c r="E24" s="338" t="inlineStr">
        <is>
          <t>Yes</t>
        </is>
      </c>
      <c r="F24" s="338" t="inlineStr">
        <is>
          <t>Yes</t>
        </is>
      </c>
      <c r="G24" s="338" t="inlineStr">
        <is>
          <t>Pre-suit or statutory disclosure row retained; deadline/scope should remain tied to written request and listed statutory conditions.</t>
        </is>
      </c>
    </row>
    <row r="25">
      <c r="A25" s="338" t="inlineStr">
        <is>
          <t>Mississippi</t>
        </is>
      </c>
      <c r="B25" s="338" t="inlineStr">
        <is>
          <t>Pass</t>
        </is>
      </c>
      <c r="C25" s="338" t="inlineStr">
        <is>
          <t>Yes</t>
        </is>
      </c>
      <c r="D25" s="338" t="inlineStr">
        <is>
          <t>Yes</t>
        </is>
      </c>
      <c r="E25" s="338" t="inlineStr">
        <is>
          <t>Yes</t>
        </is>
      </c>
      <c r="F25" s="338" t="inlineStr">
        <is>
          <t>Yes</t>
        </is>
      </c>
      <c r="G25" s="338" t="inlineStr">
        <is>
          <t>Litigation-only row; no pre-suit auto policy-limits disclosure statute identified in current worksheet. Discovery-rule citation retained.</t>
        </is>
      </c>
    </row>
    <row r="26">
      <c r="A26" s="338" t="inlineStr">
        <is>
          <t>Missouri</t>
        </is>
      </c>
      <c r="B26" s="338" t="inlineStr">
        <is>
          <t>Pass</t>
        </is>
      </c>
      <c r="C26" s="338" t="inlineStr">
        <is>
          <t>Yes</t>
        </is>
      </c>
      <c r="D26" s="338" t="inlineStr">
        <is>
          <t>Yes</t>
        </is>
      </c>
      <c r="E26" s="338" t="inlineStr">
        <is>
          <t>Yes</t>
        </is>
      </c>
      <c r="F26" s="338" t="inlineStr">
        <is>
          <t>Yes</t>
        </is>
      </c>
      <c r="G26" s="338" t="inlineStr">
        <is>
          <t>Conditional disclosure row; trigger should remain visible in Notes and not be simplified to unconditional disclosure.</t>
        </is>
      </c>
    </row>
    <row r="27">
      <c r="A27" s="338" t="inlineStr">
        <is>
          <t>Montana</t>
        </is>
      </c>
      <c r="B27" s="338" t="inlineStr">
        <is>
          <t>Pass</t>
        </is>
      </c>
      <c r="C27" s="338" t="inlineStr">
        <is>
          <t>Yes</t>
        </is>
      </c>
      <c r="D27" s="338" t="inlineStr">
        <is>
          <t>Yes</t>
        </is>
      </c>
      <c r="E27" s="338" t="inlineStr">
        <is>
          <t>Yes</t>
        </is>
      </c>
      <c r="F27" s="338" t="inlineStr">
        <is>
          <t>Yes</t>
        </is>
      </c>
      <c r="G27" s="338" t="inlineStr">
        <is>
          <t>Litigation-only row; no pre-suit auto policy-limits disclosure statute identified in current worksheet. Discovery-rule citation retained.</t>
        </is>
      </c>
    </row>
    <row r="28">
      <c r="A28" s="338" t="inlineStr">
        <is>
          <t>Nebraska</t>
        </is>
      </c>
      <c r="B28" s="338" t="inlineStr">
        <is>
          <t>Pass</t>
        </is>
      </c>
      <c r="C28" s="338" t="inlineStr">
        <is>
          <t>Yes</t>
        </is>
      </c>
      <c r="D28" s="338" t="inlineStr">
        <is>
          <t>Yes</t>
        </is>
      </c>
      <c r="E28" s="338" t="inlineStr">
        <is>
          <t>Yes</t>
        </is>
      </c>
      <c r="F28" s="338" t="inlineStr">
        <is>
          <t>Yes</t>
        </is>
      </c>
      <c r="G28" s="338" t="inlineStr">
        <is>
          <t>Litigation-only row; no pre-suit auto policy-limits disclosure statute identified in current worksheet. Discovery-rule citation retained.</t>
        </is>
      </c>
    </row>
    <row r="29">
      <c r="A29" s="338" t="inlineStr">
        <is>
          <t>Nevada</t>
        </is>
      </c>
      <c r="B29" s="338" t="inlineStr">
        <is>
          <t>Pass</t>
        </is>
      </c>
      <c r="C29" s="338" t="inlineStr">
        <is>
          <t>Yes</t>
        </is>
      </c>
      <c r="D29" s="338" t="inlineStr">
        <is>
          <t>Yes</t>
        </is>
      </c>
      <c r="E29" s="338" t="inlineStr">
        <is>
          <t>Yes</t>
        </is>
      </c>
      <c r="F29" s="338" t="inlineStr">
        <is>
          <t>Yes</t>
        </is>
      </c>
      <c r="G29" s="338" t="inlineStr">
        <is>
          <t>Pre-suit or statutory disclosure row retained; deadline/scope should remain tied to written request and listed statutory conditions.</t>
        </is>
      </c>
    </row>
    <row r="30">
      <c r="A30" s="338" t="inlineStr">
        <is>
          <t>New Hampshire</t>
        </is>
      </c>
      <c r="B30" s="338" t="inlineStr">
        <is>
          <t>Pass</t>
        </is>
      </c>
      <c r="C30" s="338" t="inlineStr">
        <is>
          <t>Yes</t>
        </is>
      </c>
      <c r="D30" s="338" t="inlineStr">
        <is>
          <t>Yes</t>
        </is>
      </c>
      <c r="E30" s="338" t="inlineStr">
        <is>
          <t>Yes</t>
        </is>
      </c>
      <c r="F30" s="338" t="inlineStr">
        <is>
          <t>Yes</t>
        </is>
      </c>
      <c r="G30" s="338" t="inlineStr">
        <is>
          <t>Replaced secondary URL with official New Hampshire General Court RSA page for RSA 498:2-a.</t>
        </is>
      </c>
    </row>
    <row r="31">
      <c r="A31" s="338" t="inlineStr">
        <is>
          <t>New Jersey</t>
        </is>
      </c>
      <c r="B31" s="338" t="inlineStr">
        <is>
          <t>Pass</t>
        </is>
      </c>
      <c r="C31" s="338" t="inlineStr">
        <is>
          <t>Yes</t>
        </is>
      </c>
      <c r="D31" s="338" t="inlineStr">
        <is>
          <t>Yes</t>
        </is>
      </c>
      <c r="E31" s="338" t="inlineStr">
        <is>
          <t>Yes</t>
        </is>
      </c>
      <c r="F31" s="338" t="inlineStr">
        <is>
          <t>Yes</t>
        </is>
      </c>
      <c r="G31" s="338" t="inlineStr">
        <is>
          <t>Pre-suit or statutory disclosure row retained; deadline/scope should remain tied to written request and listed statutory conditions.</t>
        </is>
      </c>
    </row>
    <row r="32">
      <c r="A32" s="338" t="inlineStr">
        <is>
          <t>New Mexico</t>
        </is>
      </c>
      <c r="B32" s="338" t="inlineStr">
        <is>
          <t>Pass</t>
        </is>
      </c>
      <c r="C32" s="338" t="inlineStr">
        <is>
          <t>Yes</t>
        </is>
      </c>
      <c r="D32" s="338" t="inlineStr">
        <is>
          <t>Yes</t>
        </is>
      </c>
      <c r="E32" s="338" t="inlineStr">
        <is>
          <t>Yes</t>
        </is>
      </c>
      <c r="F32" s="338" t="inlineStr">
        <is>
          <t>Yes</t>
        </is>
      </c>
      <c r="G32" s="338" t="inlineStr">
        <is>
          <t>Litigation-only row; no pre-suit auto policy-limits disclosure statute identified in current worksheet. Discovery-rule citation retained.</t>
        </is>
      </c>
    </row>
    <row r="33">
      <c r="A33" s="338" t="inlineStr">
        <is>
          <t>New York</t>
        </is>
      </c>
      <c r="B33" s="338" t="inlineStr">
        <is>
          <t>Pass</t>
        </is>
      </c>
      <c r="C33" s="338" t="inlineStr">
        <is>
          <t>Yes</t>
        </is>
      </c>
      <c r="D33" s="338" t="inlineStr">
        <is>
          <t>Yes</t>
        </is>
      </c>
      <c r="E33" s="338" t="inlineStr">
        <is>
          <t>Yes</t>
        </is>
      </c>
      <c r="F33" s="338" t="inlineStr">
        <is>
          <t>Yes</t>
        </is>
      </c>
      <c r="G33" s="338" t="inlineStr">
        <is>
          <t>Litigation-only row; no pre-suit auto policy-limits disclosure statute identified in current worksheet. Discovery-rule citation retained.</t>
        </is>
      </c>
    </row>
    <row r="34">
      <c r="A34" s="338" t="inlineStr">
        <is>
          <t>North Carolina</t>
        </is>
      </c>
      <c r="B34" s="338" t="inlineStr">
        <is>
          <t>Pass</t>
        </is>
      </c>
      <c r="C34" s="338" t="inlineStr">
        <is>
          <t>Yes</t>
        </is>
      </c>
      <c r="D34" s="338" t="inlineStr">
        <is>
          <t>Yes</t>
        </is>
      </c>
      <c r="E34" s="338" t="inlineStr">
        <is>
          <t>Yes</t>
        </is>
      </c>
      <c r="F34" s="338" t="inlineStr">
        <is>
          <t>Yes</t>
        </is>
      </c>
      <c r="G34" s="338" t="inlineStr">
        <is>
          <t>Conditional disclosure row; trigger should remain visible in Notes and not be simplified to unconditional disclosure.</t>
        </is>
      </c>
    </row>
    <row r="35">
      <c r="A35" s="338" t="inlineStr">
        <is>
          <t>North Dakota</t>
        </is>
      </c>
      <c r="B35" s="338" t="inlineStr">
        <is>
          <t>Pass</t>
        </is>
      </c>
      <c r="C35" s="338" t="inlineStr">
        <is>
          <t>Yes</t>
        </is>
      </c>
      <c r="D35" s="338" t="inlineStr">
        <is>
          <t>Yes</t>
        </is>
      </c>
      <c r="E35" s="338" t="inlineStr">
        <is>
          <t>Yes</t>
        </is>
      </c>
      <c r="F35" s="338" t="inlineStr">
        <is>
          <t>Yes</t>
        </is>
      </c>
      <c r="G35" s="338" t="inlineStr">
        <is>
          <t>Litigation-only row; no pre-suit auto policy-limits disclosure statute identified in current worksheet. Discovery-rule citation retained.</t>
        </is>
      </c>
    </row>
    <row r="36">
      <c r="A36" s="338" t="inlineStr">
        <is>
          <t>Ohio</t>
        </is>
      </c>
      <c r="B36" s="338" t="inlineStr">
        <is>
          <t>Pass</t>
        </is>
      </c>
      <c r="C36" s="338" t="inlineStr">
        <is>
          <t>Yes</t>
        </is>
      </c>
      <c r="D36" s="338" t="inlineStr">
        <is>
          <t>Yes</t>
        </is>
      </c>
      <c r="E36" s="338" t="inlineStr">
        <is>
          <t>Yes</t>
        </is>
      </c>
      <c r="F36" s="338" t="inlineStr">
        <is>
          <t>Yes</t>
        </is>
      </c>
      <c r="G36" s="338" t="inlineStr">
        <is>
          <t>Litigation-only row; no pre-suit auto policy-limits disclosure statute identified in current worksheet. Discovery-rule citation retained.</t>
        </is>
      </c>
    </row>
    <row r="37">
      <c r="A37" s="338" t="inlineStr">
        <is>
          <t>Oklahoma</t>
        </is>
      </c>
      <c r="B37" s="338" t="inlineStr">
        <is>
          <t>Pass</t>
        </is>
      </c>
      <c r="C37" s="338" t="inlineStr">
        <is>
          <t>Yes</t>
        </is>
      </c>
      <c r="D37" s="338" t="inlineStr">
        <is>
          <t>Yes</t>
        </is>
      </c>
      <c r="E37" s="338" t="inlineStr">
        <is>
          <t>Yes</t>
        </is>
      </c>
      <c r="F37" s="338" t="inlineStr">
        <is>
          <t>Yes</t>
        </is>
      </c>
      <c r="G37" s="338" t="inlineStr">
        <is>
          <t>Litigation-only row; no pre-suit auto policy-limits disclosure statute identified in current worksheet. Discovery-rule citation retained.</t>
        </is>
      </c>
    </row>
    <row r="38">
      <c r="A38" s="338" t="inlineStr">
        <is>
          <t>Oregon</t>
        </is>
      </c>
      <c r="B38" s="338" t="inlineStr">
        <is>
          <t>Pass</t>
        </is>
      </c>
      <c r="C38" s="338" t="inlineStr">
        <is>
          <t>Yes</t>
        </is>
      </c>
      <c r="D38" s="338" t="inlineStr">
        <is>
          <t>Yes</t>
        </is>
      </c>
      <c r="E38" s="338" t="inlineStr">
        <is>
          <t>Yes</t>
        </is>
      </c>
      <c r="F38" s="338" t="inlineStr">
        <is>
          <t>Yes</t>
        </is>
      </c>
      <c r="G38" s="338" t="inlineStr">
        <is>
          <t>Litigation-only row; no pre-suit auto policy-limits disclosure statute identified in current worksheet. Discovery-rule citation retained.</t>
        </is>
      </c>
    </row>
    <row r="39">
      <c r="A39" s="338" t="inlineStr">
        <is>
          <t>Pennsylvania</t>
        </is>
      </c>
      <c r="B39" s="338" t="inlineStr">
        <is>
          <t>Pass</t>
        </is>
      </c>
      <c r="C39" s="338" t="inlineStr">
        <is>
          <t>Yes</t>
        </is>
      </c>
      <c r="D39" s="338" t="inlineStr">
        <is>
          <t>Yes</t>
        </is>
      </c>
      <c r="E39" s="338" t="inlineStr">
        <is>
          <t>Yes</t>
        </is>
      </c>
      <c r="F39" s="338" t="inlineStr">
        <is>
          <t>Yes</t>
        </is>
      </c>
      <c r="G39" s="338" t="inlineStr">
        <is>
          <t>Replaced Cornell URL with official Pennsylvania Code and Bulletin page for Pa. R.C.P. 4003.2.</t>
        </is>
      </c>
    </row>
    <row r="40">
      <c r="A40" s="338" t="inlineStr">
        <is>
          <t>Rhode Island</t>
        </is>
      </c>
      <c r="B40" s="338" t="inlineStr">
        <is>
          <t>Pass</t>
        </is>
      </c>
      <c r="C40" s="338" t="inlineStr">
        <is>
          <t>Yes</t>
        </is>
      </c>
      <c r="D40" s="338" t="inlineStr">
        <is>
          <t>Yes</t>
        </is>
      </c>
      <c r="E40" s="338" t="inlineStr">
        <is>
          <t>Yes</t>
        </is>
      </c>
      <c r="F40" s="338" t="inlineStr">
        <is>
          <t>Yes</t>
        </is>
      </c>
      <c r="G40" s="338" t="inlineStr">
        <is>
          <t>Pre-suit or statutory disclosure row retained; deadline/scope should remain tied to written request and listed statutory conditions.</t>
        </is>
      </c>
    </row>
    <row r="41">
      <c r="A41" s="338" t="inlineStr">
        <is>
          <t>South Carolina</t>
        </is>
      </c>
      <c r="B41" s="338" t="inlineStr">
        <is>
          <t>Pass</t>
        </is>
      </c>
      <c r="C41" s="338" t="inlineStr">
        <is>
          <t>Yes</t>
        </is>
      </c>
      <c r="D41" s="338" t="inlineStr">
        <is>
          <t>Yes</t>
        </is>
      </c>
      <c r="E41" s="338" t="inlineStr">
        <is>
          <t>Yes</t>
        </is>
      </c>
      <c r="F41" s="338" t="inlineStr">
        <is>
          <t>Yes</t>
        </is>
      </c>
      <c r="G41" s="338" t="inlineStr">
        <is>
          <t>Pre-suit or statutory disclosure row retained; deadline/scope should remain tied to written request and listed statutory conditions.</t>
        </is>
      </c>
    </row>
    <row r="42">
      <c r="A42" s="338" t="inlineStr">
        <is>
          <t>South Dakota</t>
        </is>
      </c>
      <c r="B42" s="338" t="inlineStr">
        <is>
          <t>Pass</t>
        </is>
      </c>
      <c r="C42" s="338" t="inlineStr">
        <is>
          <t>Yes</t>
        </is>
      </c>
      <c r="D42" s="338" t="inlineStr">
        <is>
          <t>Yes</t>
        </is>
      </c>
      <c r="E42" s="338" t="inlineStr">
        <is>
          <t>Yes</t>
        </is>
      </c>
      <c r="F42" s="338" t="inlineStr">
        <is>
          <t>Yes</t>
        </is>
      </c>
      <c r="G42" s="338" t="inlineStr">
        <is>
          <t>Litigation-only row; no pre-suit auto policy-limits disclosure statute identified in current worksheet. Discovery-rule citation retained.</t>
        </is>
      </c>
    </row>
    <row r="43">
      <c r="A43" s="338" t="inlineStr">
        <is>
          <t>Tennessee</t>
        </is>
      </c>
      <c r="B43" s="338" t="inlineStr">
        <is>
          <t>Pass</t>
        </is>
      </c>
      <c r="C43" s="338" t="inlineStr">
        <is>
          <t>Yes</t>
        </is>
      </c>
      <c r="D43" s="338" t="inlineStr">
        <is>
          <t>Yes</t>
        </is>
      </c>
      <c r="E43" s="338" t="inlineStr">
        <is>
          <t>Yes</t>
        </is>
      </c>
      <c r="F43" s="338" t="inlineStr">
        <is>
          <t>Yes</t>
        </is>
      </c>
      <c r="G43" s="338" t="inlineStr">
        <is>
          <t>Pre-suit or statutory disclosure row retained; deadline/scope should remain tied to written request and listed statutory conditions.</t>
        </is>
      </c>
    </row>
    <row r="44">
      <c r="A44" s="338" t="inlineStr">
        <is>
          <t>Texas</t>
        </is>
      </c>
      <c r="B44" s="338" t="inlineStr">
        <is>
          <t>Pass</t>
        </is>
      </c>
      <c r="C44" s="338" t="inlineStr">
        <is>
          <t>Yes</t>
        </is>
      </c>
      <c r="D44" s="338" t="inlineStr">
        <is>
          <t>Yes</t>
        </is>
      </c>
      <c r="E44" s="338" t="inlineStr">
        <is>
          <t>Yes</t>
        </is>
      </c>
      <c r="F44" s="338" t="inlineStr">
        <is>
          <t>Yes</t>
        </is>
      </c>
      <c r="G44" s="338" t="inlineStr">
        <is>
          <t>Litigation-only row; no pre-suit auto policy-limits disclosure statute identified in current worksheet. Discovery-rule citation retained.</t>
        </is>
      </c>
    </row>
    <row r="45">
      <c r="A45" s="338" t="inlineStr">
        <is>
          <t>Utah</t>
        </is>
      </c>
      <c r="B45" s="338" t="inlineStr">
        <is>
          <t>Pass</t>
        </is>
      </c>
      <c r="C45" s="338" t="inlineStr">
        <is>
          <t>Yes</t>
        </is>
      </c>
      <c r="D45" s="338" t="inlineStr">
        <is>
          <t>Yes</t>
        </is>
      </c>
      <c r="E45" s="338" t="inlineStr">
        <is>
          <t>Yes</t>
        </is>
      </c>
      <c r="F45" s="338" t="inlineStr">
        <is>
          <t>Yes</t>
        </is>
      </c>
      <c r="G45" s="338" t="inlineStr">
        <is>
          <t>Litigation-only row; no pre-suit auto policy-limits disclosure statute identified in current worksheet. Discovery-rule citation retained.</t>
        </is>
      </c>
    </row>
    <row r="46">
      <c r="A46" s="338" t="inlineStr">
        <is>
          <t>Vermont</t>
        </is>
      </c>
      <c r="B46" s="338" t="inlineStr">
        <is>
          <t>Pass</t>
        </is>
      </c>
      <c r="C46" s="338" t="inlineStr">
        <is>
          <t>Yes</t>
        </is>
      </c>
      <c r="D46" s="338" t="inlineStr">
        <is>
          <t>Yes</t>
        </is>
      </c>
      <c r="E46" s="338" t="inlineStr">
        <is>
          <t>Yes</t>
        </is>
      </c>
      <c r="F46" s="338" t="inlineStr">
        <is>
          <t>Yes</t>
        </is>
      </c>
      <c r="G46" s="338" t="inlineStr">
        <is>
          <t>Litigation-only row; no pre-suit auto policy-limits disclosure statute identified in current worksheet. Discovery-rule citation retained.</t>
        </is>
      </c>
    </row>
    <row r="47">
      <c r="A47" s="338" t="inlineStr">
        <is>
          <t>Virginia</t>
        </is>
      </c>
      <c r="B47" s="338" t="inlineStr">
        <is>
          <t>Pass</t>
        </is>
      </c>
      <c r="C47" s="338" t="inlineStr">
        <is>
          <t>Yes</t>
        </is>
      </c>
      <c r="D47" s="338" t="inlineStr">
        <is>
          <t>Yes</t>
        </is>
      </c>
      <c r="E47" s="338" t="inlineStr">
        <is>
          <t>Yes</t>
        </is>
      </c>
      <c r="F47" s="338" t="inlineStr">
        <is>
          <t>Yes</t>
        </is>
      </c>
      <c r="G47" s="338" t="inlineStr">
        <is>
          <t>Conditional disclosure row; trigger should remain visible in Notes and not be simplified to unconditional disclosure.</t>
        </is>
      </c>
    </row>
    <row r="48">
      <c r="A48" s="338" t="inlineStr">
        <is>
          <t>Washington</t>
        </is>
      </c>
      <c r="B48" s="338" t="inlineStr">
        <is>
          <t>Pass</t>
        </is>
      </c>
      <c r="C48" s="338" t="inlineStr">
        <is>
          <t>Yes</t>
        </is>
      </c>
      <c r="D48" s="338" t="inlineStr">
        <is>
          <t>Yes</t>
        </is>
      </c>
      <c r="E48" s="338" t="inlineStr">
        <is>
          <t>Yes</t>
        </is>
      </c>
      <c r="F48" s="338" t="inlineStr">
        <is>
          <t>Yes</t>
        </is>
      </c>
      <c r="G48" s="338" t="inlineStr">
        <is>
          <t>Litigation-only row; no pre-suit auto policy-limits disclosure statute identified in current worksheet. Discovery-rule citation retained.</t>
        </is>
      </c>
    </row>
    <row r="49">
      <c r="A49" s="338" t="inlineStr">
        <is>
          <t>West Virginia</t>
        </is>
      </c>
      <c r="B49" s="338" t="inlineStr">
        <is>
          <t>Pass</t>
        </is>
      </c>
      <c r="C49" s="338" t="inlineStr">
        <is>
          <t>Yes</t>
        </is>
      </c>
      <c r="D49" s="338" t="inlineStr">
        <is>
          <t>Yes</t>
        </is>
      </c>
      <c r="E49" s="338" t="inlineStr">
        <is>
          <t>Yes</t>
        </is>
      </c>
      <c r="F49" s="338" t="inlineStr">
        <is>
          <t>Yes</t>
        </is>
      </c>
      <c r="G49" s="338" t="inlineStr">
        <is>
          <t>Pre-suit or statutory disclosure row retained; deadline/scope should remain tied to written request and listed statutory conditions.</t>
        </is>
      </c>
    </row>
    <row r="50">
      <c r="A50" s="338" t="inlineStr">
        <is>
          <t>Wisconsin</t>
        </is>
      </c>
      <c r="B50" s="338" t="inlineStr">
        <is>
          <t>Pass</t>
        </is>
      </c>
      <c r="C50" s="338" t="inlineStr">
        <is>
          <t>Yes</t>
        </is>
      </c>
      <c r="D50" s="338" t="inlineStr">
        <is>
          <t>Yes</t>
        </is>
      </c>
      <c r="E50" s="338" t="inlineStr">
        <is>
          <t>Yes</t>
        </is>
      </c>
      <c r="F50" s="338" t="inlineStr">
        <is>
          <t>Yes</t>
        </is>
      </c>
      <c r="G50" s="338" t="inlineStr">
        <is>
          <t>Litigation-only row; no pre-suit auto policy-limits disclosure statute identified in current worksheet. Discovery-rule citation retained.</t>
        </is>
      </c>
    </row>
    <row r="51">
      <c r="A51" s="338" t="inlineStr">
        <is>
          <t>Wyoming</t>
        </is>
      </c>
      <c r="B51" s="338" t="inlineStr">
        <is>
          <t>Pass</t>
        </is>
      </c>
      <c r="C51" s="338" t="inlineStr">
        <is>
          <t>Yes</t>
        </is>
      </c>
      <c r="D51" s="338" t="inlineStr">
        <is>
          <t>Yes</t>
        </is>
      </c>
      <c r="E51" s="338" t="inlineStr">
        <is>
          <t>Yes</t>
        </is>
      </c>
      <c r="F51" s="338" t="inlineStr">
        <is>
          <t>Yes</t>
        </is>
      </c>
      <c r="G51" s="338" t="inlineStr">
        <is>
          <t>Litigation-only row; no pre-suit auto policy-limits disclosure statute identified in current worksheet. Discovery-rule citation retained.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6.730000019073486" customWidth="1" style="355" min="1" max="1"/>
    <col width="12.64999961853027" customWidth="1" style="355" min="2" max="2"/>
    <col width="94.75" customWidth="1" style="355" min="3" max="3"/>
    <col width="82.63999938964844" customWidth="1" style="355" min="4" max="4"/>
    <col width="7.130000114440918" customWidth="1" style="355" min="5" max="5"/>
  </cols>
  <sheetData>
    <row r="1">
      <c r="A1" s="449" t="inlineStr">
        <is>
          <t>Priority</t>
        </is>
      </c>
      <c r="B1" s="449" t="inlineStr">
        <is>
          <t>State</t>
        </is>
      </c>
      <c r="C1" s="449" t="inlineStr">
        <is>
          <t>Current Issue</t>
        </is>
      </c>
      <c r="D1" s="449" t="inlineStr">
        <is>
          <t>Action Taken / Recommended</t>
        </is>
      </c>
      <c r="E1" s="449" t="inlineStr">
        <is>
          <t>Status</t>
        </is>
      </c>
      <c r="F1" s="348" t="n"/>
      <c r="G1" s="348" t="n"/>
      <c r="H1" s="348" t="n"/>
      <c r="I1" s="348" t="n"/>
      <c r="J1" s="348" t="n"/>
      <c r="K1" s="348" t="n"/>
      <c r="L1" s="348" t="n"/>
      <c r="M1" s="348" t="n"/>
      <c r="N1" s="348" t="n"/>
      <c r="O1" s="348" t="n"/>
      <c r="P1" s="348" t="n"/>
      <c r="Q1" s="348" t="n"/>
      <c r="R1" s="348" t="n"/>
      <c r="S1" s="348" t="n"/>
      <c r="T1" s="348" t="n"/>
      <c r="U1" s="348" t="n"/>
      <c r="V1" s="348" t="n"/>
      <c r="W1" s="348" t="n"/>
      <c r="X1" s="348" t="n"/>
      <c r="Y1" s="348" t="n"/>
      <c r="Z1" s="348" t="n"/>
    </row>
    <row r="2">
      <c r="A2" s="338" t="inlineStr">
        <is>
          <t>High</t>
        </is>
      </c>
      <c r="B2" s="338" t="inlineStr">
        <is>
          <t>New Hampshire</t>
        </is>
      </c>
      <c r="C2" s="338" t="inlineStr">
        <is>
          <t>Prior URL used a secondary code source for RSA 498:2-a.</t>
        </is>
      </c>
      <c r="D2" s="338" t="inlineStr">
        <is>
          <t>Updated production URL to official New Hampshire General Court RSA page.</t>
        </is>
      </c>
      <c r="E2" s="338" t="inlineStr">
        <is>
          <t>Resolved</t>
        </is>
      </c>
    </row>
    <row r="3">
      <c r="A3" s="338" t="inlineStr">
        <is>
          <t>High</t>
        </is>
      </c>
      <c r="B3" s="338" t="inlineStr">
        <is>
          <t>Pennsylvania</t>
        </is>
      </c>
      <c r="C3" s="338" t="inlineStr">
        <is>
          <t>Prior URL used Cornell for Pa. R.C.P. 4003.2.</t>
        </is>
      </c>
      <c r="D3" s="338" t="inlineStr">
        <is>
          <t>Updated production URL to official Pennsylvania Code and Bulletin page.</t>
        </is>
      </c>
      <c r="E3" s="338" t="inlineStr">
        <is>
          <t>Resolved</t>
        </is>
      </c>
    </row>
    <row r="4">
      <c r="A4" s="338" t="inlineStr">
        <is>
          <t>Medium</t>
        </is>
      </c>
      <c r="B4" s="338" t="inlineStr">
        <is>
          <t>Georgia</t>
        </is>
      </c>
      <c r="C4" s="338" t="inlineStr">
        <is>
          <t>Production row uses Justia for O.C.G.A. § 33-3-28 because official free Georgia Code access was not confirmed in D2.</t>
        </is>
      </c>
      <c r="D4" s="338" t="inlineStr">
        <is>
          <t>Retain citation and note; continue monitoring for official code URL or Georgia legislature code platform.</t>
        </is>
      </c>
      <c r="E4" s="338" t="inlineStr">
        <is>
          <t>Open</t>
        </is>
      </c>
    </row>
    <row r="5">
      <c r="A5" s="338" t="inlineStr">
        <is>
          <t>Medium</t>
        </is>
      </c>
      <c r="B5" s="338" t="inlineStr">
        <is>
          <t>Kentucky</t>
        </is>
      </c>
      <c r="C5" s="338" t="inlineStr">
        <is>
          <t>Kentucky civil rule source is the government Westlaw court-rules portal rather than a plain judiciary-hosted HTML/PDF.</t>
        </is>
      </c>
      <c r="D5" s="338" t="inlineStr">
        <is>
          <t>Retain as court-rule access unless an official judiciary-hosted rule text is located.</t>
        </is>
      </c>
      <c r="E5" s="338" t="inlineStr">
        <is>
          <t>Open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2.64999961853027" customWidth="1" style="355" min="1" max="1"/>
    <col width="16.14999961853027" customWidth="1" style="355" min="2" max="2"/>
    <col width="41.45000076293945" customWidth="1" style="355" min="3" max="3"/>
    <col width="81.43000030517578" customWidth="1" style="355" min="4" max="4"/>
    <col width="126.5100021362305" customWidth="1" style="355" min="5" max="5"/>
    <col width="86.94000244140625" customWidth="1" style="355" min="6" max="6"/>
    <col width="163.6600036621094" customWidth="1" style="355" min="7" max="7"/>
    <col width="238.7599945068359" customWidth="1" style="355" min="8" max="8"/>
  </cols>
  <sheetData>
    <row r="1">
      <c r="A1" s="449" t="inlineStr">
        <is>
          <t>State</t>
        </is>
      </c>
      <c r="B1" s="449" t="inlineStr">
        <is>
          <t>Disclosure Required</t>
        </is>
      </c>
      <c r="C1" s="449" t="inlineStr">
        <is>
          <t>Requestor</t>
        </is>
      </c>
      <c r="D1" s="449" t="inlineStr">
        <is>
          <t>Deadline</t>
        </is>
      </c>
      <c r="E1" s="449" t="inlineStr">
        <is>
          <t>Required Information</t>
        </is>
      </c>
      <c r="F1" s="449" t="inlineStr">
        <is>
          <t>Citation</t>
        </is>
      </c>
      <c r="G1" s="449" t="inlineStr">
        <is>
          <t>URL</t>
        </is>
      </c>
      <c r="H1" s="449" t="inlineStr">
        <is>
          <t>Notes</t>
        </is>
      </c>
      <c r="I1" s="348" t="n"/>
      <c r="J1" s="348" t="n"/>
      <c r="K1" s="348" t="n"/>
      <c r="L1" s="348" t="n"/>
      <c r="M1" s="348" t="n"/>
      <c r="N1" s="348" t="n"/>
      <c r="O1" s="348" t="n"/>
      <c r="P1" s="348" t="n"/>
      <c r="Q1" s="348" t="n"/>
      <c r="R1" s="348" t="n"/>
      <c r="S1" s="348" t="n"/>
      <c r="T1" s="348" t="n"/>
      <c r="U1" s="348" t="n"/>
      <c r="V1" s="348" t="n"/>
      <c r="W1" s="348" t="n"/>
      <c r="X1" s="348" t="n"/>
      <c r="Y1" s="348" t="n"/>
      <c r="Z1" s="348" t="n"/>
    </row>
    <row r="2">
      <c r="A2" s="338" t="inlineStr">
        <is>
          <t>Alabama</t>
        </is>
      </c>
      <c r="B2" s="338" t="inlineStr">
        <is>
          <t>Litigation Only</t>
        </is>
      </c>
      <c r="C2" s="338" t="inlineStr">
        <is>
          <t>Party to Litigation</t>
        </is>
      </c>
      <c r="D2" s="338" t="inlineStr">
        <is>
          <t>Discovery Rules</t>
        </is>
      </c>
      <c r="E2" s="338" t="inlineStr">
        <is>
          <t>Insurance Agreements</t>
        </is>
      </c>
      <c r="F2" s="338" t="inlineStr">
        <is>
          <t>Ala. R. Civ. P. 26(b)(3)</t>
        </is>
      </c>
      <c r="G2" s="338" t="inlineStr">
        <is>
          <t>https://judicial.alabama.gov/docs/library/rules/CV26.pdf</t>
        </is>
      </c>
      <c r="H2" s="338" t="inlineStr">
        <is>
          <t>No identified statutory requirement for pre-suit disclosure of liability policy limits to third-party claimants. Insurance agreements are discoverable during litigation.</t>
        </is>
      </c>
    </row>
    <row r="3">
      <c r="A3" s="338" t="inlineStr">
        <is>
          <t>Alaska</t>
        </is>
      </c>
      <c r="B3" s="338" t="inlineStr">
        <is>
          <t>Litigation Only</t>
        </is>
      </c>
      <c r="C3" s="338" t="inlineStr">
        <is>
          <t>Party to Litigation</t>
        </is>
      </c>
      <c r="D3" s="338" t="inlineStr">
        <is>
          <t>Discovery Rules</t>
        </is>
      </c>
      <c r="E3" s="338" t="inlineStr">
        <is>
          <t>Insurance Agreements</t>
        </is>
      </c>
      <c r="F3" s="338" t="inlineStr">
        <is>
          <t>Alaska R. Civ. P. 26(a)(1)(F)</t>
        </is>
      </c>
      <c r="G3" s="338" t="inlineStr">
        <is>
          <t>https://courts.alaska.gov/rules/docs/civ.pdf</t>
        </is>
      </c>
      <c r="H3" s="338" t="inlineStr">
        <is>
          <t>No identified statutory requirement for pre-suit disclosure of liability policy limits to third-party claimants. Insurance agreements are disclosed in litigation.</t>
        </is>
      </c>
    </row>
    <row r="4">
      <c r="A4" s="338" t="inlineStr">
        <is>
          <t>Arizona</t>
        </is>
      </c>
      <c r="B4" s="338" t="inlineStr">
        <is>
          <t>Litigation Only</t>
        </is>
      </c>
      <c r="C4" s="338" t="inlineStr">
        <is>
          <t>Party to Litigation</t>
        </is>
      </c>
      <c r="D4" s="338" t="inlineStr">
        <is>
          <t>Discovery Rules</t>
        </is>
      </c>
      <c r="E4" s="338" t="inlineStr">
        <is>
          <t>Insurance Agreements</t>
        </is>
      </c>
      <c r="F4" s="338" t="inlineStr">
        <is>
          <t>Ariz. R. Civ. P. 26.1(a)(10)</t>
        </is>
      </c>
      <c r="G4" s="338" t="inlineStr">
        <is>
          <t>https://www.azcourts.gov/rules/Arizona-Rules-of-Civil-Procedure</t>
        </is>
      </c>
      <c r="H4" s="338" t="inlineStr">
        <is>
          <t>No identified statutory requirement for pre-suit disclosure of liability policy limits to third-party claimants. Insurance agreements are disclosed in litigation.</t>
        </is>
      </c>
    </row>
    <row r="5">
      <c r="A5" s="338" t="inlineStr">
        <is>
          <t>Arkansas</t>
        </is>
      </c>
      <c r="B5" s="338" t="inlineStr">
        <is>
          <t>Litigation Only</t>
        </is>
      </c>
      <c r="C5" s="338" t="inlineStr">
        <is>
          <t>Party to Litigation</t>
        </is>
      </c>
      <c r="D5" s="338" t="inlineStr">
        <is>
          <t>Discovery Rules</t>
        </is>
      </c>
      <c r="E5" s="338" t="inlineStr">
        <is>
          <t>Insurance Agreements</t>
        </is>
      </c>
      <c r="F5" s="338" t="inlineStr">
        <is>
          <t>Ark. R. Civ. P. 26(b)(2)</t>
        </is>
      </c>
      <c r="G5" s="338" t="inlineStr">
        <is>
          <t>https://www.arcourts.gov/rules-and-administrative-orders/court-rules/rule-26-general-provisions-governing-discovery</t>
        </is>
      </c>
      <c r="H5" s="338" t="inlineStr">
        <is>
          <t>No identified statutory requirement for pre-suit disclosure of liability policy limits to third-party claimants. Insurance agreements are discoverable during litigation.</t>
        </is>
      </c>
    </row>
    <row r="6">
      <c r="A6" s="338" t="inlineStr">
        <is>
          <t>California</t>
        </is>
      </c>
      <c r="B6" s="338" t="inlineStr">
        <is>
          <t>Litigation Only</t>
        </is>
      </c>
      <c r="C6" s="338" t="inlineStr">
        <is>
          <t>Party to Litigation</t>
        </is>
      </c>
      <c r="D6" s="338" t="inlineStr">
        <is>
          <t>Discovery Rules</t>
        </is>
      </c>
      <c r="E6" s="338" t="inlineStr">
        <is>
          <t>Insurance Agreements</t>
        </is>
      </c>
      <c r="F6" s="338" t="inlineStr">
        <is>
          <t>Cal. Code Civ. Proc. § 2017.210</t>
        </is>
      </c>
      <c r="G6" s="338" t="inlineStr">
        <is>
          <t>https://leginfo.legislature.ca.gov/faces/codes_displaySection.xhtml?sectionNum=2017.210&amp;lawCode=CCP</t>
        </is>
      </c>
      <c r="H6" s="338" t="inlineStr">
        <is>
          <t>Allows discovery of insurance agreements after litigation begins; no broad pre-suit claimant policy-limits disclosure requirement was identified.</t>
        </is>
      </c>
    </row>
    <row r="7">
      <c r="A7" s="338" t="inlineStr">
        <is>
          <t>Colorado</t>
        </is>
      </c>
      <c r="B7" s="338" t="inlineStr">
        <is>
          <t>Yes</t>
        </is>
      </c>
      <c r="C7" s="338" t="inlineStr">
        <is>
          <t>Claimant</t>
        </is>
      </c>
      <c r="D7" s="338" t="inlineStr">
        <is>
          <t>30 Days</t>
        </is>
      </c>
      <c r="E7" s="338" t="inlineStr">
        <is>
          <t>BI Limits; PD Limits; Umbrella Coverage; Excess Coverage; Named Insured Information; Policy Copy</t>
        </is>
      </c>
      <c r="F7" s="338" t="inlineStr">
        <is>
          <t>Colo. Rev. Stat. § 10-3-1117</t>
        </is>
      </c>
      <c r="G7" s="338" t="inlineStr">
        <is>
          <t>https://leg.colorado.gov/laws/session-laws/4271/download</t>
        </is>
      </c>
      <c r="H7" s="338" t="inlineStr">
        <is>
          <t>Insurer must provide specified auto liability coverage information within 30 days after written request from a claimant or claimant attorney. Includes known excess or umbrella insurance relevant to the claim.</t>
        </is>
      </c>
    </row>
    <row r="8">
      <c r="A8" s="338" t="inlineStr">
        <is>
          <t>Connecticut</t>
        </is>
      </c>
      <c r="B8" s="338" t="inlineStr">
        <is>
          <t>Yes</t>
        </is>
      </c>
      <c r="C8" s="338" t="inlineStr">
        <is>
          <t>Claimant or representative; plaintiff in litigation</t>
        </is>
      </c>
      <c r="D8" s="338" t="inlineStr">
        <is>
          <t>30 days for motor-vehicle BI/death request; litigation discovery by motion</t>
        </is>
      </c>
      <c r="E8" s="338" t="inlineStr">
        <is>
          <t>Auto liability policy limits; in negligence litigation, policy limits and indemnity disclaimer status</t>
        </is>
      </c>
      <c r="F8" s="338" t="inlineStr">
        <is>
          <t>Conn. Gen. Stat. §§ 38a-335a; 52-200a</t>
        </is>
      </c>
      <c r="G8" s="338" t="inlineStr">
        <is>
          <t>https://www.cga.ct.gov/current/pub/chap_700.htm#sec_38a-335a</t>
        </is>
      </c>
      <c r="H8" s="338" t="inlineStr">
        <is>
          <t>Pre-suit disclosure appears limited to bodily injury/death claims from motor vehicle collisions; broader negligence insurance information is discoverable in litigation by written motion.</t>
        </is>
      </c>
    </row>
    <row r="9">
      <c r="A9" s="338" t="inlineStr">
        <is>
          <t>Delaware</t>
        </is>
      </c>
      <c r="B9" s="338" t="inlineStr">
        <is>
          <t>Conditional</t>
        </is>
      </c>
      <c r="C9" s="338" t="inlineStr">
        <is>
          <t>Injured person or representative</t>
        </is>
      </c>
      <c r="D9" s="338" t="inlineStr">
        <is>
          <t>30 days after qualifying request</t>
        </is>
      </c>
      <c r="E9" s="338" t="inlineStr">
        <is>
          <t>BI liability limits for motor vehicle policies</t>
        </is>
      </c>
      <c r="F9" s="338" t="inlineStr">
        <is>
          <t>21 Del. C. § 2907(d)</t>
        </is>
      </c>
      <c r="G9" s="338" t="inlineStr">
        <is>
          <t>https://delcode.delaware.gov/title21/c029/sc01/index.html#2907</t>
        </is>
      </c>
      <c r="H9" s="338" t="inlineStr">
        <is>
          <t>Disclosure applies when submitted medical bills and wage losses meet the statutory threshold; scope is bodily injury limits at the time of the accident.</t>
        </is>
      </c>
    </row>
    <row r="10">
      <c r="A10" s="338" t="inlineStr">
        <is>
          <t>Florida</t>
        </is>
      </c>
      <c r="B10" s="338" t="inlineStr">
        <is>
          <t>Yes</t>
        </is>
      </c>
      <c r="C10" s="338" t="inlineStr">
        <is>
          <t>Claimant</t>
        </is>
      </c>
      <c r="D10" s="338" t="inlineStr">
        <is>
          <t>60 Days</t>
        </is>
      </c>
      <c r="E10" s="338" t="inlineStr">
        <is>
          <t>BI Limits; PD Limits; Umbrella Coverage; Excess Coverage; Named Insured Information; Declarations Page</t>
        </is>
      </c>
      <c r="F10" s="338" t="inlineStr">
        <is>
          <t>Fla. Stat. § 627.4137</t>
        </is>
      </c>
      <c r="G10" s="338" t="inlineStr">
        <is>
          <t>https://www.leg.state.fl.us/Statutes/index.cfm?App_mode=Display_Statute&amp;URL=0600-0699/0627/Sections/0627.4137.html</t>
        </is>
      </c>
      <c r="H10" s="338" t="inlineStr">
        <is>
          <t>Insurer must provide, within 60 days after written claimant request, sworn coverage information for known liability or casualty policies, including excess or umbrella insurance. The insured has a separate 30-day disclosure duty.</t>
        </is>
      </c>
    </row>
    <row r="11">
      <c r="A11" s="338" t="inlineStr">
        <is>
          <t>Georgia</t>
        </is>
      </c>
      <c r="B11" s="338" t="inlineStr">
        <is>
          <t>Yes</t>
        </is>
      </c>
      <c r="C11" s="338" t="inlineStr">
        <is>
          <t>Claimant or claimant attorney</t>
        </is>
      </c>
      <c r="D11" s="338" t="inlineStr">
        <is>
          <t>30 days</t>
        </is>
      </c>
      <c r="E11" s="338" t="inlineStr">
        <is>
          <t>Insurer name, each insured, and limits of coverage</t>
        </is>
      </c>
      <c r="F11" s="338" t="inlineStr">
        <is>
          <t>O.C.G.A. § 33-3-28</t>
        </is>
      </c>
      <c r="G11" s="338" t="inlineStr">
        <is>
          <t>https://law.justia.com/codes/georgia/title-33/chapter-3/section-33-3-28/</t>
        </is>
      </c>
      <c r="H11" s="338" t="inlineStr">
        <is>
          <t>Requires the insured or insurer to disclose listed coverage information after a written request; official Georgia Code access may require a licensed code platform.</t>
        </is>
      </c>
    </row>
    <row r="12">
      <c r="A12" s="338" t="inlineStr">
        <is>
          <t>Hawaii</t>
        </is>
      </c>
      <c r="B12" s="338" t="inlineStr">
        <is>
          <t>Litigation Only</t>
        </is>
      </c>
      <c r="C12" s="338" t="inlineStr">
        <is>
          <t>Party to Litigation</t>
        </is>
      </c>
      <c r="D12" s="338" t="inlineStr">
        <is>
          <t>Discovery Rules</t>
        </is>
      </c>
      <c r="E12" s="338" t="inlineStr">
        <is>
          <t>Insurance Agreements</t>
        </is>
      </c>
      <c r="F12" s="338" t="inlineStr">
        <is>
          <t>Haw. R. Civ. P. 26(b)(3)</t>
        </is>
      </c>
      <c r="G12" s="338" t="inlineStr">
        <is>
          <t>https://www.courts.state.hi.us/wp-content/uploads/2024/09/hrcp_ada.pdf</t>
        </is>
      </c>
      <c r="H12" s="338" t="inlineStr">
        <is>
          <t>No identified statutory requirement for pre-suit disclosure of liability policy limits to third-party claimants. Insurance agreements are discoverable during litigation.</t>
        </is>
      </c>
    </row>
    <row r="13">
      <c r="A13" s="338" t="inlineStr">
        <is>
          <t>Idaho</t>
        </is>
      </c>
      <c r="B13" s="338" t="inlineStr">
        <is>
          <t>Litigation Only</t>
        </is>
      </c>
      <c r="C13" s="338" t="inlineStr">
        <is>
          <t>Party to Litigation</t>
        </is>
      </c>
      <c r="D13" s="338" t="inlineStr">
        <is>
          <t>Discovery Rules</t>
        </is>
      </c>
      <c r="E13" s="338" t="inlineStr">
        <is>
          <t>Insurance agreements that may satisfy or indemnify against a judgment</t>
        </is>
      </c>
      <c r="F13" s="338" t="inlineStr">
        <is>
          <t>Idaho R. Civ. P. 26(b)(2)</t>
        </is>
      </c>
      <c r="G13" s="338" t="inlineStr">
        <is>
          <t>https://isc.idaho.gov/rules-procedure/ircp</t>
        </is>
      </c>
      <c r="H13" s="338" t="inlineStr">
        <is>
          <t>No Idaho pre-suit third-party policy-limits disclosure statute was confirmed. Insurance agreements are discoverable after litigation begins under Idaho Rule of Civil Procedure 26(b)(2).</t>
        </is>
      </c>
    </row>
    <row r="14">
      <c r="A14" s="338" t="inlineStr">
        <is>
          <t>Illinois</t>
        </is>
      </c>
      <c r="B14" s="338" t="inlineStr">
        <is>
          <t>Conditional</t>
        </is>
      </c>
      <c r="C14" s="338" t="inlineStr">
        <is>
          <t>Claimant or claimant attorney</t>
        </is>
      </c>
      <c r="D14" s="338" t="inlineStr">
        <is>
          <t>30 days</t>
        </is>
      </c>
      <c r="E14" s="338" t="inlineStr">
        <is>
          <t>Private passenger automobile liability limits; disclosure is tied to statutory request requirements and proof of injury</t>
        </is>
      </c>
      <c r="F14" s="338" t="inlineStr">
        <is>
          <t>215 ILCS 5/143.24b</t>
        </is>
      </c>
      <c r="G14" s="338" t="inlineStr">
        <is>
          <t>https://ilga.gov/documents/legislation/ilcs/documents/021500050K143.24b.htm</t>
        </is>
      </c>
      <c r="H14" s="338" t="inlineStr">
        <is>
          <t>Insurer must disclose personal private passenger auto liability coverage limits after receiving the required certified written request and supporting injury information. Umbrella coverage is not included under this statute.</t>
        </is>
      </c>
    </row>
    <row r="15">
      <c r="A15" s="338" t="inlineStr">
        <is>
          <t>Indiana</t>
        </is>
      </c>
      <c r="B15" s="338" t="inlineStr">
        <is>
          <t>Litigation Only</t>
        </is>
      </c>
      <c r="C15" s="338" t="inlineStr">
        <is>
          <t>Party to Litigation</t>
        </is>
      </c>
      <c r="D15" s="338" t="inlineStr">
        <is>
          <t>Discovery Rules</t>
        </is>
      </c>
      <c r="E15" s="338" t="inlineStr">
        <is>
          <t>Insurance agreements that may satisfy or indemnify against a judgment</t>
        </is>
      </c>
      <c r="F15" s="338" t="inlineStr">
        <is>
          <t>Ind. R. Trial P. 26(B)(2)</t>
        </is>
      </c>
      <c r="G15" s="338" t="inlineStr">
        <is>
          <t>https://rules.incourts.gov/Content/trial/rule26/current.htm</t>
        </is>
      </c>
      <c r="H15" s="338" t="inlineStr">
        <is>
          <t>No Indiana pre-suit third-party policy-limits disclosure statute was confirmed. Insurance agreements are discoverable after litigation begins under Trial Rule 26(B)(2).</t>
        </is>
      </c>
    </row>
    <row r="16">
      <c r="A16" s="338" t="inlineStr">
        <is>
          <t>Iowa</t>
        </is>
      </c>
      <c r="B16" s="338" t="inlineStr">
        <is>
          <t>Litigation Only</t>
        </is>
      </c>
      <c r="C16" s="338" t="inlineStr">
        <is>
          <t>Party to Litigation</t>
        </is>
      </c>
      <c r="D16" s="338" t="inlineStr">
        <is>
          <t>Initial disclosure / discovery after suit</t>
        </is>
      </c>
      <c r="E16" s="338" t="inlineStr">
        <is>
          <t>Insurance agreements that may satisfy, indemnify, or reimburse for a judgment</t>
        </is>
      </c>
      <c r="F16" s="338" t="inlineStr">
        <is>
          <t>Iowa R. Civ. P. 1.500(1)(a)(4); 1.503(2)</t>
        </is>
      </c>
      <c r="G16" s="338" t="inlineStr">
        <is>
          <t>https://www.legis.iowa.gov/docs/ACO/CourtRulesChapter/1.pdf</t>
        </is>
      </c>
      <c r="H16" s="338" t="inlineStr">
        <is>
          <t>No Iowa pre-suit third-party policy-limits disclosure statute was confirmed. Iowa litigation rules require insurance information in initial disclosures and allow additional discovery of insurance agreements.</t>
        </is>
      </c>
    </row>
    <row r="17">
      <c r="A17" s="338" t="inlineStr">
        <is>
          <t>Kansas</t>
        </is>
      </c>
      <c r="B17" s="338" t="inlineStr">
        <is>
          <t>Litigation Only</t>
        </is>
      </c>
      <c r="C17" s="338" t="inlineStr">
        <is>
          <t>Party to Litigation</t>
        </is>
      </c>
      <c r="D17" s="338" t="inlineStr">
        <is>
          <t>Discovery Rules</t>
        </is>
      </c>
      <c r="E17" s="338" t="inlineStr">
        <is>
          <t>Insurance Agreements</t>
        </is>
      </c>
      <c r="F17" s="338" t="inlineStr">
        <is>
          <t>K.S.A. 60-226(b)(3)(A)</t>
        </is>
      </c>
      <c r="G17" s="338" t="inlineStr">
        <is>
          <t>https://ksrevisor.gov/statutes/chapters/ch60/060_002_0026.html</t>
        </is>
      </c>
      <c r="H17" s="338" t="inlineStr">
        <is>
          <t>No identified statutory requirement for pre-suit disclosure of liability policy limits to third-party claimants. Insurance agreements are discoverable during litigation.</t>
        </is>
      </c>
    </row>
    <row r="18">
      <c r="A18" s="338" t="inlineStr">
        <is>
          <t>Kentucky</t>
        </is>
      </c>
      <c r="B18" s="338" t="inlineStr">
        <is>
          <t>Litigation Only</t>
        </is>
      </c>
      <c r="C18" s="338" t="inlineStr">
        <is>
          <t>Party to Litigation</t>
        </is>
      </c>
      <c r="D18" s="338" t="inlineStr">
        <is>
          <t>Discovery Rules</t>
        </is>
      </c>
      <c r="E18" s="338" t="inlineStr">
        <is>
          <t>Insurance agreements that may satisfy or indemnify against a judgment</t>
        </is>
      </c>
      <c r="F18" s="338" t="inlineStr">
        <is>
          <t>Ky. R. Civ. P. 26.02(2)</t>
        </is>
      </c>
      <c r="G18" s="338" t="inlineStr">
        <is>
          <t>https://govt.westlaw.com/kyrules/Document/N85A3DA10A91B11DA8F5EE32367A250AE</t>
        </is>
      </c>
      <c r="H18" s="338" t="inlineStr">
        <is>
          <t>No Kentucky pre-suit third-party policy-limits disclosure statute was confirmed. Insurance agreements are discoverable after litigation begins under CR 26.02(2).</t>
        </is>
      </c>
    </row>
    <row r="19">
      <c r="A19" s="338" t="inlineStr">
        <is>
          <t>Louisiana</t>
        </is>
      </c>
      <c r="B19" s="338" t="inlineStr">
        <is>
          <t>Litigation Only</t>
        </is>
      </c>
      <c r="C19" s="338" t="inlineStr">
        <is>
          <t>Party to Litigation</t>
        </is>
      </c>
      <c r="D19" s="338" t="inlineStr">
        <is>
          <t>Discovery Rules</t>
        </is>
      </c>
      <c r="E19" s="338" t="inlineStr">
        <is>
          <t>Insurance Agreements</t>
        </is>
      </c>
      <c r="F19" s="338" t="inlineStr">
        <is>
          <t>La. C.C.P. art. 1423</t>
        </is>
      </c>
      <c r="G19" s="338" t="inlineStr">
        <is>
          <t>https://www.legis.la.gov/legis/Laws_Toc.aspx?folder=68&amp;level=Parent</t>
        </is>
      </c>
      <c r="H19" s="338" t="inlineStr">
        <is>
          <t>No identified statutory requirement for pre-suit disclosure of liability policy limits to third-party claimants. Insurance agreements are discoverable during litigation.</t>
        </is>
      </c>
    </row>
    <row r="20">
      <c r="A20" s="338" t="inlineStr">
        <is>
          <t>Maine</t>
        </is>
      </c>
      <c r="B20" s="338" t="inlineStr">
        <is>
          <t>Yes</t>
        </is>
      </c>
      <c r="C20" s="338" t="inlineStr">
        <is>
          <t>Claimant or claimant attorney</t>
        </is>
      </c>
      <c r="D20" s="338" t="inlineStr">
        <is>
          <t>60 days</t>
        </is>
      </c>
      <c r="E20" s="338" t="inlineStr">
        <is>
          <t>Liability coverage limits</t>
        </is>
      </c>
      <c r="F20" s="338" t="inlineStr">
        <is>
          <t>24-A M.R.S. § 2164-E</t>
        </is>
      </c>
      <c r="G20" s="338" t="inlineStr">
        <is>
          <t>https://legislature.maine.gov/statutes/24-a/title24-Asec2164-E.html</t>
        </is>
      </c>
      <c r="H20" s="338" t="inlineStr">
        <is>
          <t>Requires an insurer doing business in Maine to disclose the insured's liability coverage limits after written request; noncompliance may trigger a $500 penalty plus fees and expenses.</t>
        </is>
      </c>
    </row>
    <row r="21">
      <c r="A21" s="338" t="inlineStr">
        <is>
          <t>Maryland</t>
        </is>
      </c>
      <c r="B21" s="338" t="inlineStr">
        <is>
          <t>Conditional</t>
        </is>
      </c>
      <c r="C21" s="338" t="inlineStr">
        <is>
          <t>Claimant attorney</t>
        </is>
      </c>
      <c r="D21" s="338" t="inlineStr">
        <is>
          <t>30 days after complete statutory request</t>
        </is>
      </c>
      <c r="E21" s="338" t="inlineStr">
        <is>
          <t>Applicable insurance coverage limits for qualifying injury, wrongful death, survival, motor vehicle, homeowners, or renters claims</t>
        </is>
      </c>
      <c r="F21" s="338" t="inlineStr">
        <is>
          <t>Md. Code Ann., Cts. &amp; Jud. Proc. §§ 10-1101 to 10-1104</t>
        </is>
      </c>
      <c r="G21" s="338" t="inlineStr">
        <is>
          <t>https://mgaleg.maryland.gov/mgawebsite/Laws/StatuteText?article=gcj&amp;section=10-1103</t>
        </is>
      </c>
      <c r="H21" s="338" t="inlineStr">
        <is>
          <t>Pre-litigation procedure requires specified claim details and Maryland attorney certification that the claim was investigated and is not frivolous.</t>
        </is>
      </c>
    </row>
    <row r="22">
      <c r="A22" s="338" t="inlineStr">
        <is>
          <t>Massachusetts</t>
        </is>
      </c>
      <c r="B22" s="338" t="inlineStr">
        <is>
          <t>Yes</t>
        </is>
      </c>
      <c r="C22" s="338" t="inlineStr">
        <is>
          <t>Injured party or injured party attorney</t>
        </is>
      </c>
      <c r="D22" s="338" t="inlineStr">
        <is>
          <t>30 days</t>
        </is>
      </c>
      <c r="E22" s="338" t="inlineStr">
        <is>
          <t>Amount of insured's liability coverage limits</t>
        </is>
      </c>
      <c r="F22" s="338" t="inlineStr">
        <is>
          <t>Mass. Gen. Laws ch. 175, § 112C</t>
        </is>
      </c>
      <c r="G22" s="338" t="inlineStr">
        <is>
          <t>https://malegislature.gov/Laws/GeneralLaws/PartI/TitleXXII/Chapter175/Section112c</t>
        </is>
      </c>
      <c r="H22" s="338" t="inlineStr">
        <is>
          <t>Any insurer doing business in Massachusetts must reveal liability limits on written request. Failure may expose insurer to statutory penalty, attorney fees, and expenses.</t>
        </is>
      </c>
    </row>
    <row r="23">
      <c r="A23" s="338" t="inlineStr">
        <is>
          <t>Michigan</t>
        </is>
      </c>
      <c r="B23" s="338" t="inlineStr">
        <is>
          <t>Litigation Only</t>
        </is>
      </c>
      <c r="C23" s="338" t="inlineStr">
        <is>
          <t>Party to Litigation</t>
        </is>
      </c>
      <c r="D23" s="338" t="inlineStr">
        <is>
          <t>Discovery Rules</t>
        </is>
      </c>
      <c r="E23" s="338" t="inlineStr">
        <is>
          <t>Insurance Agreements</t>
        </is>
      </c>
      <c r="F23" s="338" t="inlineStr">
        <is>
          <t>MCR 2.302</t>
        </is>
      </c>
      <c r="G23" s="338" t="inlineStr">
        <is>
          <t>https://www.courts.michigan.gov/siteassets/rules-instructions-administrative-orders/michigan-court-rules/court-rules-book-ch-2-responsive-html5.zip/index.html</t>
        </is>
      </c>
      <c r="H23" s="338" t="inlineStr">
        <is>
          <t>No identified statutory requirement for pre-suit disclosure of liability policy limits to third-party claimants. Insurance agreements are discoverable during litigation.</t>
        </is>
      </c>
    </row>
    <row r="24">
      <c r="A24" s="338" t="inlineStr">
        <is>
          <t>Minnesota</t>
        </is>
      </c>
      <c r="B24" s="338" t="inlineStr">
        <is>
          <t>Yes</t>
        </is>
      </c>
      <c r="C24" s="338" t="inlineStr">
        <is>
          <t>Claimant</t>
        </is>
      </c>
      <c r="D24" s="338" t="inlineStr">
        <is>
          <t>30 Days</t>
        </is>
      </c>
      <c r="E24" s="338" t="inlineStr">
        <is>
          <t>BI Limits; PD Limits</t>
        </is>
      </c>
      <c r="F24" s="338" t="inlineStr">
        <is>
          <t>Minn. Stat. § 72A.201 Subd. 11</t>
        </is>
      </c>
      <c r="G24" s="338" t="inlineStr">
        <is>
          <t>https://www.revisor.mn.gov/statutes/cite/72A.201</t>
        </is>
      </c>
      <c r="H24" s="338" t="inlineStr">
        <is>
          <t>Insurer must disclose applicable coverage and limits within 30 days after written request.</t>
        </is>
      </c>
    </row>
    <row r="25">
      <c r="A25" s="338" t="inlineStr">
        <is>
          <t>Mississippi</t>
        </is>
      </c>
      <c r="B25" s="338" t="inlineStr">
        <is>
          <t>Litigation Only</t>
        </is>
      </c>
      <c r="C25" s="338" t="inlineStr">
        <is>
          <t>Party to Litigation</t>
        </is>
      </c>
      <c r="D25" s="338" t="inlineStr">
        <is>
          <t>Discovery Rules</t>
        </is>
      </c>
      <c r="E25" s="338" t="inlineStr">
        <is>
          <t>Insurance Agreements</t>
        </is>
      </c>
      <c r="F25" s="338" t="inlineStr">
        <is>
          <t>Miss. R. Civ. P. 26(b)(2)</t>
        </is>
      </c>
      <c r="G25" s="338" t="inlineStr">
        <is>
          <t>https://courts.ms.gov/research/rules/msrulesofcourt/Rules_of_Civil_Procedure.pdf</t>
        </is>
      </c>
      <c r="H25" s="338" t="inlineStr">
        <is>
          <t>No identified statutory requirement for pre-suit disclosure of liability policy limits to third-party claimants. Insurance agreements are discoverable during litigation.</t>
        </is>
      </c>
    </row>
    <row r="26">
      <c r="A26" s="338" t="inlineStr">
        <is>
          <t>Missouri</t>
        </is>
      </c>
      <c r="B26" s="338" t="inlineStr">
        <is>
          <t>Conditional</t>
        </is>
      </c>
      <c r="C26" s="338" t="inlineStr">
        <is>
          <t>Claimant or claimant representative</t>
        </is>
      </c>
      <c r="D26" s="338" t="inlineStr">
        <is>
          <t>Demand must remain open at least 90 days</t>
        </is>
      </c>
      <c r="E26" s="338" t="inlineStr">
        <is>
          <t>Time-limited demand may request applicable policy limits; settlement-demand material terms and supporting records</t>
        </is>
      </c>
      <c r="F26" s="338" t="inlineStr">
        <is>
          <t>Mo. Rev. Stat. § 537.058</t>
        </is>
      </c>
      <c r="G26" s="338" t="inlineStr">
        <is>
          <t>https://revisor.mo.gov/main/OneSection.aspx?section=537.058</t>
        </is>
      </c>
      <c r="H26" s="338" t="inlineStr">
        <is>
          <t>Missouri does not appear to provide a simple standalone pre-suit policy-limits disclosure statute. Section 537.058 creates a time-limited demand procedure for injury, bodily injury, or wrongful death claims and allows the demand to request applicable policy limits.</t>
        </is>
      </c>
    </row>
    <row r="27">
      <c r="A27" s="338" t="inlineStr">
        <is>
          <t>Montana</t>
        </is>
      </c>
      <c r="B27" s="338" t="inlineStr">
        <is>
          <t>Litigation Only</t>
        </is>
      </c>
      <c r="C27" s="338" t="inlineStr">
        <is>
          <t>Party to Litigation</t>
        </is>
      </c>
      <c r="D27" s="338" t="inlineStr">
        <is>
          <t>Discovery Rules; special time-limited demands must remain open at least 60 days</t>
        </is>
      </c>
      <c r="E27" s="338" t="inlineStr">
        <is>
          <t>Insurance agreements discoverable after suit; time-limited demand procedure governs settlement demands but does not create broad pre-suit disclosure duty</t>
        </is>
      </c>
      <c r="F27" s="338" t="inlineStr">
        <is>
          <t>Mont. R. Civ. P. 26(b)(5); Mont. Code Ann. § 33-18-251; Wilkie v. Hartford Underwriters Ins. Co., 2021 MT 221</t>
        </is>
      </c>
      <c r="G27" s="338" t="inlineStr">
        <is>
          <t>https://juddocumentservice.mt.gov/getDocByCTrackId?DocId=349851</t>
        </is>
      </c>
      <c r="H27" s="338" t="inlineStr">
        <is>
          <t>Montana Supreme Court stated that neither the UTPA nor other statutory schemes require insurers to disclose policy documents, limits, or coverage information to third-party claimants before litigation. Montana also has a special time-limited demand statute with separate procedural requirements.</t>
        </is>
      </c>
    </row>
    <row r="28">
      <c r="A28" s="338" t="inlineStr">
        <is>
          <t>Nebraska</t>
        </is>
      </c>
      <c r="B28" s="338" t="inlineStr">
        <is>
          <t>Litigation Only</t>
        </is>
      </c>
      <c r="C28" s="338" t="inlineStr">
        <is>
          <t>Party to Litigation</t>
        </is>
      </c>
      <c r="D28" s="338" t="inlineStr">
        <is>
          <t>Discovery Rules</t>
        </is>
      </c>
      <c r="E28" s="338" t="inlineStr">
        <is>
          <t>Existence and contents of insurance agreements; whether coverage is disputed may be obtained by interrogatory</t>
        </is>
      </c>
      <c r="F28" s="338" t="inlineStr">
        <is>
          <t>Neb. Ct. R. Disc. § 6-326(b)(2)</t>
        </is>
      </c>
      <c r="G28" s="338" t="inlineStr">
        <is>
          <t>https://nebraskajudicial.gov/supreme-court-rules/chapter-6-trial-courts/article-3-nebraska-court-rules-discovery-civil-cases-effective-january-1-2025/%C2%A7-6-326-general-provisions-governing-discovery</t>
        </is>
      </c>
      <c r="H28" s="338" t="inlineStr">
        <is>
          <t>No Nebraska pre-suit policy-limits disclosure statute was confirmed. Nebraska discovery rules allow a party in litigation to obtain insurance agreements and ask whether coverage is disputed.</t>
        </is>
      </c>
    </row>
    <row r="29">
      <c r="A29" s="338" t="inlineStr">
        <is>
          <t>Nevada</t>
        </is>
      </c>
      <c r="B29" s="338" t="inlineStr">
        <is>
          <t>Limited</t>
        </is>
      </c>
      <c r="C29" s="338" t="inlineStr">
        <is>
          <t>Claimant</t>
        </is>
      </c>
      <c r="D29" s="338" t="inlineStr">
        <is>
          <t>5 Business Days</t>
        </is>
      </c>
      <c r="E29" s="338" t="inlineStr">
        <is>
          <t>Declarations Page; Named Insured Information; BI Limits; PD Limits</t>
        </is>
      </c>
      <c r="F29" s="338" t="inlineStr">
        <is>
          <t>NRS 690B.024</t>
        </is>
      </c>
      <c r="G29" s="338" t="inlineStr">
        <is>
          <t>https://www.leg.state.nv.us/nrs/nrs-690b.html</t>
        </is>
      </c>
      <c r="H29" s="338" t="inlineStr">
        <is>
          <t>Disclosure requires written authorization and is narrower than Florida-style disclosure statutes. Insurer must provide the declarations page within 5 business days and may not redact the named party or policy limits.</t>
        </is>
      </c>
    </row>
    <row r="30">
      <c r="A30" s="338" t="inlineStr">
        <is>
          <t>New Hampshire</t>
        </is>
      </c>
      <c r="B30" s="338" t="inlineStr">
        <is>
          <t>Litigation Only</t>
        </is>
      </c>
      <c r="C30" s="338" t="inlineStr">
        <is>
          <t>Claimant</t>
        </is>
      </c>
      <c r="D30" s="338" t="inlineStr">
        <is>
          <t>Discovery Rules</t>
        </is>
      </c>
      <c r="E30" s="338" t="inlineStr">
        <is>
          <t>BI Limits; PD Limits</t>
        </is>
      </c>
      <c r="F30" s="338" t="inlineStr">
        <is>
          <t>N.H. Rev. Stat. § 498:2-a</t>
        </is>
      </c>
      <c r="G30" s="338" t="inlineStr">
        <is>
          <t>https://www.gencourt.state.nh.us/rsa/html/LI/498/498-2-a.htm</t>
        </is>
      </c>
      <c r="H30" s="338" t="inlineStr">
        <is>
          <t>No general pre-suit disclosure requirement identified. After suit for negligence and an appearance by the defendant, the defendant or liability insurer must disclose applicable policy limits to the claimant or claimant's counsel.</t>
        </is>
      </c>
    </row>
    <row r="31">
      <c r="A31" s="338" t="inlineStr">
        <is>
          <t>New Jersey</t>
        </is>
      </c>
      <c r="B31" s="338" t="inlineStr">
        <is>
          <t>Yes</t>
        </is>
      </c>
      <c r="C31" s="338" t="inlineStr">
        <is>
          <t>Attorney admitted in New Jersey</t>
        </is>
      </c>
      <c r="D31" s="338" t="inlineStr">
        <is>
          <t>30 days</t>
        </is>
      </c>
      <c r="E31" s="338" t="inlineStr">
        <is>
          <t>Policy limits under applicable private passenger automobile or motor vehicle liability policy</t>
        </is>
      </c>
      <c r="F31" s="338" t="inlineStr">
        <is>
          <t>N.J. Stat. §§ 39:6A-13.2; 39:6B-1.1</t>
        </is>
      </c>
      <c r="G31" s="338" t="inlineStr">
        <is>
          <t>https://pub.njleg.state.nj.us/Bills/2022/AL22/95_.PDF</t>
        </is>
      </c>
      <c r="H31" s="338" t="inlineStr">
        <is>
          <t>Requires written disclosure to a New Jersey attorney after a qualifying request. State law has separate provisions for private passenger auto and certain other motor vehicle liability policies.</t>
        </is>
      </c>
    </row>
    <row r="32">
      <c r="A32" s="338" t="inlineStr">
        <is>
          <t>New Mexico</t>
        </is>
      </c>
      <c r="B32" s="338" t="inlineStr">
        <is>
          <t>Litigation Only</t>
        </is>
      </c>
      <c r="C32" s="338" t="inlineStr">
        <is>
          <t>Party to Litigation</t>
        </is>
      </c>
      <c r="D32" s="338" t="inlineStr">
        <is>
          <t>Discovery Rules</t>
        </is>
      </c>
      <c r="E32" s="338" t="inlineStr">
        <is>
          <t>Insurance Agreements</t>
        </is>
      </c>
      <c r="F32" s="338" t="inlineStr">
        <is>
          <t>N.M. R. Civ. P. Dist. Ct. 1-026(B)(2)</t>
        </is>
      </c>
      <c r="G32" s="338" t="inlineStr">
        <is>
          <t>https://nmonesource.com/nmos/nmra/en/item/5636/index.do</t>
        </is>
      </c>
      <c r="H32" s="338" t="inlineStr">
        <is>
          <t>No identified statutory requirement for pre-suit disclosure of liability policy limits to third-party claimants. Insurance agreements are discoverable during litigation.</t>
        </is>
      </c>
    </row>
    <row r="33">
      <c r="A33" s="338" t="inlineStr">
        <is>
          <t>New York</t>
        </is>
      </c>
      <c r="B33" s="338" t="inlineStr">
        <is>
          <t>Litigation Only</t>
        </is>
      </c>
      <c r="C33" s="338" t="inlineStr">
        <is>
          <t>Any party in litigation</t>
        </is>
      </c>
      <c r="D33" s="338" t="inlineStr">
        <is>
          <t>Discovery timing after suit</t>
        </is>
      </c>
      <c r="E33" s="338" t="inlineStr">
        <is>
          <t>Existence and contents of insurance agreements that may satisfy judgment</t>
        </is>
      </c>
      <c r="F33" s="338" t="inlineStr">
        <is>
          <t>N.Y. C.P.L.R. 3101(f)</t>
        </is>
      </c>
      <c r="G33" s="338" t="inlineStr">
        <is>
          <t>https://www.nysenate.gov/legislation/laws/CVP/3101</t>
        </is>
      </c>
      <c r="H33" s="338" t="inlineStr">
        <is>
          <t>Insurance information is discoverable in litigation; no broad pre-suit claimant policy-limits disclosure requirement was confirmed in this build.</t>
        </is>
      </c>
    </row>
    <row r="34">
      <c r="A34" s="338" t="inlineStr">
        <is>
          <t>North Carolina</t>
        </is>
      </c>
      <c r="B34" s="338" t="inlineStr">
        <is>
          <t>Conditional</t>
        </is>
      </c>
      <c r="C34" s="338" t="inlineStr">
        <is>
          <t>Claimant or claimant attorney</t>
        </is>
      </c>
      <c r="D34" s="338" t="inlineStr">
        <is>
          <t>30 days after required documents</t>
        </is>
      </c>
      <c r="E34" s="338" t="inlineStr">
        <is>
          <t>Policy limits</t>
        </is>
      </c>
      <c r="F34" s="338" t="inlineStr">
        <is>
          <t>N.C. Gen. Stat. § 58-3-33</t>
        </is>
      </c>
      <c r="G34" s="338" t="inlineStr">
        <is>
          <t>https://www.ncleg.gov/EnactedLegislation/Statutes/PDF/BySection/Chapter_58/GS_58-3-33.pdf</t>
        </is>
      </c>
      <c r="H34" s="338" t="inlineStr">
        <is>
          <t>Requires disclosure after a qualifying written request and required supporting materials; does not apply to medical-malpractice claims or claims where the insurer intends to deny coverage.</t>
        </is>
      </c>
    </row>
    <row r="35">
      <c r="A35" s="338" t="inlineStr">
        <is>
          <t>North Dakota</t>
        </is>
      </c>
      <c r="B35" s="338" t="inlineStr">
        <is>
          <t>Litigation Only</t>
        </is>
      </c>
      <c r="C35" s="338" t="inlineStr">
        <is>
          <t>Party to Litigation</t>
        </is>
      </c>
      <c r="D35" s="338" t="inlineStr">
        <is>
          <t>Discovery Rules</t>
        </is>
      </c>
      <c r="E35" s="338" t="inlineStr">
        <is>
          <t>Insurance Agreements</t>
        </is>
      </c>
      <c r="F35" s="338" t="inlineStr">
        <is>
          <t>N.D.R.Civ.P. 26(b)(2)</t>
        </is>
      </c>
      <c r="G35" s="338" t="inlineStr">
        <is>
          <t>https://www.ndcourts.gov/legal-resources/rules/ndrcivp/26</t>
        </is>
      </c>
      <c r="H35" s="338" t="inlineStr">
        <is>
          <t>No identified statutory requirement for pre-suit disclosure of liability policy limits to third-party claimants. Insurance agreements are discoverable during litigation.</t>
        </is>
      </c>
    </row>
    <row r="36">
      <c r="A36" s="338" t="inlineStr">
        <is>
          <t>Ohio</t>
        </is>
      </c>
      <c r="B36" s="338" t="inlineStr">
        <is>
          <t>Litigation Only</t>
        </is>
      </c>
      <c r="C36" s="338" t="inlineStr">
        <is>
          <t>Party to Litigation</t>
        </is>
      </c>
      <c r="D36" s="338" t="inlineStr">
        <is>
          <t>Discovery Rules</t>
        </is>
      </c>
      <c r="E36" s="338" t="inlineStr">
        <is>
          <t>Insurance Agreements</t>
        </is>
      </c>
      <c r="F36" s="338" t="inlineStr">
        <is>
          <t>Ohio Civ.R. 26(B)(8)</t>
        </is>
      </c>
      <c r="G36" s="338" t="inlineStr">
        <is>
          <t>https://www.supremecourt.ohio.gov/docs/LegalResources/Rules/civil/CivilProcedure.pdf</t>
        </is>
      </c>
      <c r="H36" s="338" t="inlineStr">
        <is>
          <t>No identified statutory requirement for pre-suit disclosure of liability policy limits to third-party claimants. Insurance agreements are discoverable during litigation.</t>
        </is>
      </c>
    </row>
    <row r="37">
      <c r="A37" s="338" t="inlineStr">
        <is>
          <t>Oklahoma</t>
        </is>
      </c>
      <c r="B37" s="338" t="inlineStr">
        <is>
          <t>Litigation Only</t>
        </is>
      </c>
      <c r="C37" s="338" t="inlineStr">
        <is>
          <t>Party to Litigation</t>
        </is>
      </c>
      <c r="D37" s="338" t="inlineStr">
        <is>
          <t>Discovery Rules</t>
        </is>
      </c>
      <c r="E37" s="338" t="inlineStr">
        <is>
          <t>Insurance Agreements</t>
        </is>
      </c>
      <c r="F37" s="338" t="inlineStr">
        <is>
          <t>Okla. Stat. tit. 12, § 3226(B)(2)(b)</t>
        </is>
      </c>
      <c r="G37" s="338" t="inlineStr">
        <is>
          <t>https://www.oscn.net/applications/oscn/DeliverDocument.asp?CiteID=440624</t>
        </is>
      </c>
      <c r="H37" s="338" t="inlineStr">
        <is>
          <t>No identified statutory requirement for pre-suit disclosure of liability policy limits to third-party claimants. Insurance agreements are discoverable during litigation.</t>
        </is>
      </c>
    </row>
    <row r="38">
      <c r="A38" s="338" t="inlineStr">
        <is>
          <t>Oregon</t>
        </is>
      </c>
      <c r="B38" s="338" t="inlineStr">
        <is>
          <t>Litigation Only</t>
        </is>
      </c>
      <c r="C38" s="338" t="inlineStr">
        <is>
          <t>Party to Litigation</t>
        </is>
      </c>
      <c r="D38" s="338" t="inlineStr">
        <is>
          <t>Discovery Rules</t>
        </is>
      </c>
      <c r="E38" s="338" t="inlineStr">
        <is>
          <t>Insurance Agreements; Reservation of Rights; Coverage Defenses</t>
        </is>
      </c>
      <c r="F38" s="338" t="inlineStr">
        <is>
          <t>ORCP 36 B(2)</t>
        </is>
      </c>
      <c r="G38" s="338" t="inlineStr">
        <is>
          <t>https://www.oregonlegislature.gov/bills_laws/SiteAssets/ORCP.html</t>
        </is>
      </c>
      <c r="H38" s="338" t="inlineStr">
        <is>
          <t>No identified general pre-suit policy-limit disclosure statute for third-party claimants. Insurance coverage information is discoverable during litigation, including limits and certain coverage-position information.</t>
        </is>
      </c>
    </row>
    <row r="39">
      <c r="A39" s="338" t="inlineStr">
        <is>
          <t>Pennsylvania</t>
        </is>
      </c>
      <c r="B39" s="338" t="inlineStr">
        <is>
          <t>Litigation Only</t>
        </is>
      </c>
      <c r="C39" s="338" t="inlineStr">
        <is>
          <t>Party to Litigation</t>
        </is>
      </c>
      <c r="D39" s="338" t="inlineStr">
        <is>
          <t>Discovery Rules</t>
        </is>
      </c>
      <c r="E39" s="338" t="inlineStr">
        <is>
          <t>Insurance Agreements</t>
        </is>
      </c>
      <c r="F39" s="338" t="inlineStr">
        <is>
          <t>Pa. R.C.P. 4003.2</t>
        </is>
      </c>
      <c r="G39" s="338" t="inlineStr">
        <is>
          <t>https://www.pacodeandbulletin.gov/Display/pacode?d=reduce&amp;file=/secure/pacode/data/231/chapter4000/s4003.2.html</t>
        </is>
      </c>
      <c r="H39" s="338" t="inlineStr">
        <is>
          <t>No identified statutory requirement for pre-suit disclosure of liability policy limits to third-party claimants. Insurance agreements are discoverable during litigation.</t>
        </is>
      </c>
    </row>
    <row r="40">
      <c r="A40" s="338" t="inlineStr">
        <is>
          <t>Rhode Island</t>
        </is>
      </c>
      <c r="B40" s="338" t="inlineStr">
        <is>
          <t>Yes</t>
        </is>
      </c>
      <c r="C40" s="338" t="inlineStr">
        <is>
          <t>Injured party or injured party attorney</t>
        </is>
      </c>
      <c r="D40" s="338" t="inlineStr">
        <is>
          <t>14 Days</t>
        </is>
      </c>
      <c r="E40" s="338" t="inlineStr">
        <is>
          <t>Amount of insured's liability coverage limits</t>
        </is>
      </c>
      <c r="F40" s="338" t="inlineStr">
        <is>
          <t>R.I. Gen. Laws § 27-7-5</t>
        </is>
      </c>
      <c r="G40" s="338" t="inlineStr">
        <is>
          <t>https://webserver.rilegislature.gov/Statutes/TITLE27/27-7/27-7-5.htm</t>
        </is>
      </c>
      <c r="H40" s="338" t="inlineStr">
        <is>
          <t>Insurer must reveal liability coverage limits to an injured party or the injured party's attorney within 14 days after written request.</t>
        </is>
      </c>
    </row>
    <row r="41">
      <c r="A41" s="338" t="inlineStr">
        <is>
          <t>South Carolina</t>
        </is>
      </c>
      <c r="B41" s="338" t="inlineStr">
        <is>
          <t>Yes</t>
        </is>
      </c>
      <c r="C41" s="338" t="inlineStr">
        <is>
          <t>Claimant Attorney</t>
        </is>
      </c>
      <c r="D41" s="338" t="inlineStr">
        <is>
          <t>30 Days</t>
        </is>
      </c>
      <c r="E41" s="338" t="inlineStr">
        <is>
          <t>BI Limits; PD Limits</t>
        </is>
      </c>
      <c r="F41" s="338" t="inlineStr">
        <is>
          <t>S.C. Code § 38-77-250</t>
        </is>
      </c>
      <c r="G41" s="338" t="inlineStr">
        <is>
          <t>https://www.scstatehouse.gov/code/t38c077.php</t>
        </is>
      </c>
      <c r="H41" s="338" t="inlineStr">
        <is>
          <t>Insurer must provide a sworn statement of coverage information within 30 days after a qualifying written request from the claimant's attorney. Umbrella and excess coverage are not required under this statute.</t>
        </is>
      </c>
    </row>
    <row r="42">
      <c r="A42" s="338" t="inlineStr">
        <is>
          <t>South Dakota</t>
        </is>
      </c>
      <c r="B42" s="338" t="inlineStr">
        <is>
          <t>Litigation Only</t>
        </is>
      </c>
      <c r="C42" s="338" t="inlineStr">
        <is>
          <t>Party to Litigation</t>
        </is>
      </c>
      <c r="D42" s="338" t="inlineStr">
        <is>
          <t>30 Days</t>
        </is>
      </c>
      <c r="E42" s="338" t="inlineStr">
        <is>
          <t>BI Limits; PD Limits; Named Insured Information</t>
        </is>
      </c>
      <c r="F42" s="338" t="inlineStr">
        <is>
          <t>S.D. Codified Laws § 15-6-26(b)</t>
        </is>
      </c>
      <c r="G42" s="338" t="inlineStr">
        <is>
          <t>https://sdlegislature.gov/Statutes/15-6-26%28b%29</t>
        </is>
      </c>
      <c r="H42" s="338" t="inlineStr">
        <is>
          <t>No identified statutory requirement for pre-suit disclosure of liability policy limits to third-party claimants. Insurance agreements are discoverable during litigation.</t>
        </is>
      </c>
    </row>
    <row r="43">
      <c r="A43" s="338" t="inlineStr">
        <is>
          <t>Tennessee</t>
        </is>
      </c>
      <c r="B43" s="338" t="inlineStr">
        <is>
          <t>No</t>
        </is>
      </c>
      <c r="C43" s="338" t="inlineStr">
        <is>
          <t>N/A</t>
        </is>
      </c>
      <c r="D43" s="338" t="inlineStr">
        <is>
          <t>No Statutory Deadline</t>
        </is>
      </c>
      <c r="E43" s="338" t="inlineStr">
        <is>
          <t>No Required Disclosure</t>
        </is>
      </c>
      <c r="F43" s="338" t="inlineStr">
        <is>
          <t>Thomas v. Oldfield, 279 S.W.3d 259 (Tenn. 2009)</t>
        </is>
      </c>
      <c r="G43" s="338" t="inlineStr">
        <is>
          <t>https://www.tncourts.gov/courts/supreme-court/opinions/2009/02/02/james-g-thomas-jr-brother-and-next-kin-karen-g-thomas</t>
        </is>
      </c>
      <c r="H43" s="338" t="inlineStr">
        <is>
          <t>No identified statutory requirement for pre-suit disclosure of liability policy limits to third-party claimants. Tennessee Supreme Court authority holds liability insurance information is not discoverable under Tenn. R. Civ. P. 26.02.</t>
        </is>
      </c>
    </row>
    <row r="44">
      <c r="A44" s="338" t="inlineStr">
        <is>
          <t>Texas</t>
        </is>
      </c>
      <c r="B44" s="338" t="inlineStr">
        <is>
          <t>Litigation Only</t>
        </is>
      </c>
      <c r="C44" s="338" t="inlineStr">
        <is>
          <t>Party to Litigation</t>
        </is>
      </c>
      <c r="D44" s="338" t="inlineStr">
        <is>
          <t>Discovery Rules</t>
        </is>
      </c>
      <c r="E44" s="338" t="inlineStr">
        <is>
          <t>Insurance Agreements</t>
        </is>
      </c>
      <c r="F44" s="338" t="inlineStr">
        <is>
          <t>Tex. R. Civ. P. 194.2(b)(7); Tex. R. Civ. P. 192.3(f)</t>
        </is>
      </c>
      <c r="G44" s="338" t="inlineStr">
        <is>
          <t>https://www.txcourts.gov/media/1456903/239052.pdf</t>
        </is>
      </c>
      <c r="H44" s="338" t="inlineStr">
        <is>
          <t>No identified statutory requirement for pre-suit disclosure of liability policy limits to third-party claimants. Insurance agreements are disclosed through Texas litigation discovery rules.</t>
        </is>
      </c>
    </row>
    <row r="45">
      <c r="A45" s="338" t="inlineStr">
        <is>
          <t>Utah</t>
        </is>
      </c>
      <c r="B45" s="338" t="inlineStr">
        <is>
          <t>Litigation Only</t>
        </is>
      </c>
      <c r="C45" s="338" t="inlineStr">
        <is>
          <t>Party to Litigation</t>
        </is>
      </c>
      <c r="D45" s="338" t="inlineStr">
        <is>
          <t>Plaintiff initial disclosures within 14 days after first answer; defendant within 42 days after first answer</t>
        </is>
      </c>
      <c r="E45" s="338" t="inlineStr">
        <is>
          <t>Copy of any agreement under which any person may satisfy part or all of a judgment or indemnify/reimburse payment</t>
        </is>
      </c>
      <c r="F45" s="338" t="inlineStr">
        <is>
          <t>Utah R. Civ. P. 26(a)(1)(D), 26(a)(2)</t>
        </is>
      </c>
      <c r="G45" s="338" t="inlineStr">
        <is>
          <t>https://legacy.utcourts.gov/rules/view.php?rule=26&amp;type=urcp</t>
        </is>
      </c>
      <c r="H45" s="338" t="inlineStr">
        <is>
          <t>No Utah pre-suit policy-limits disclosure statute was confirmed. Utah Rule 26 requires litigation initial disclosures including agreements that may satisfy, indemnify, or reimburse part or all of a judgment.</t>
        </is>
      </c>
    </row>
    <row r="46">
      <c r="A46" s="338" t="inlineStr">
        <is>
          <t>Vermont</t>
        </is>
      </c>
      <c r="B46" s="338" t="inlineStr">
        <is>
          <t>Litigation Only</t>
        </is>
      </c>
      <c r="C46" s="338" t="inlineStr">
        <is>
          <t>Party to Litigation</t>
        </is>
      </c>
      <c r="D46" s="338" t="inlineStr">
        <is>
          <t>Discovery Rules</t>
        </is>
      </c>
      <c r="E46" s="338" t="inlineStr">
        <is>
          <t>Insurance Agreements</t>
        </is>
      </c>
      <c r="F46" s="338" t="inlineStr">
        <is>
          <t>Vt. R. Civ. P. 26(b)(2)</t>
        </is>
      </c>
      <c r="G46" s="338" t="inlineStr">
        <is>
          <t>https://www.vermontjudiciary.org/sites/default/files/documents/PROMULGATEDVRCP1_26_34%28b%29_37%28f%29_55%28c%29-DiscoveryRules.pdf</t>
        </is>
      </c>
      <c r="H46" s="338" t="inlineStr">
        <is>
          <t>No identified statutory requirement for pre-suit disclosure of liability policy limits to third-party claimants. Insurance agreements are discoverable during litigation.</t>
        </is>
      </c>
    </row>
    <row r="47">
      <c r="A47" s="338" t="inlineStr">
        <is>
          <t>Virginia</t>
        </is>
      </c>
      <c r="B47" s="338" t="inlineStr">
        <is>
          <t>Conditional</t>
        </is>
      </c>
      <c r="C47" s="338" t="inlineStr">
        <is>
          <t>Injured person, personal representative, or attorney</t>
        </is>
      </c>
      <c r="D47" s="338" t="inlineStr">
        <is>
          <t>30 days after qualifying request</t>
        </is>
      </c>
      <c r="E47" s="338" t="inlineStr">
        <is>
          <t>Limits of liability for all applicable policies and insured address</t>
        </is>
      </c>
      <c r="F47" s="338" t="inlineStr">
        <is>
          <t>Va. Code § 8.01-417</t>
        </is>
      </c>
      <c r="G47" s="338" t="inlineStr">
        <is>
          <t>https://law.lis.virginia.gov/vacode/title8.01/chapter14/section8.01-417/</t>
        </is>
      </c>
      <c r="H47" s="338" t="inlineStr">
        <is>
          <t>Motor-vehicle disclosure applies after statutory claim information and either $12,500 in medical bills/wage losses or specified criminal charges; insurer must respond even if it contests policy applicability.</t>
        </is>
      </c>
    </row>
    <row r="48">
      <c r="A48" s="338" t="inlineStr">
        <is>
          <t>Washington</t>
        </is>
      </c>
      <c r="B48" s="338" t="inlineStr">
        <is>
          <t>Litigation Only</t>
        </is>
      </c>
      <c r="C48" s="338" t="inlineStr">
        <is>
          <t>Party to Litigation</t>
        </is>
      </c>
      <c r="D48" s="338" t="inlineStr">
        <is>
          <t>Discovery Rules</t>
        </is>
      </c>
      <c r="E48" s="338" t="inlineStr">
        <is>
          <t>Insurance Agreements; Reservation of Rights; Coverage Defenses</t>
        </is>
      </c>
      <c r="F48" s="338" t="inlineStr">
        <is>
          <t>Wash. CR 26(b)(2)</t>
        </is>
      </c>
      <c r="G48" s="338" t="inlineStr">
        <is>
          <t>https://www.courts.wa.gov/court_rules/?fa=court_rules.display&amp;group=sup&amp;ruleid=supcr26&amp;set=cr</t>
        </is>
      </c>
      <c r="H48" s="338" t="inlineStr">
        <is>
          <t>No identified statutory requirement for pre-suit disclosure of liability policy limits to third-party claimants. Insurance agreements are discoverable during litigation.</t>
        </is>
      </c>
    </row>
    <row r="49">
      <c r="A49" s="338" t="inlineStr">
        <is>
          <t>West Virginia</t>
        </is>
      </c>
      <c r="B49" s="338" t="inlineStr">
        <is>
          <t>Yes</t>
        </is>
      </c>
      <c r="C49" s="338" t="inlineStr">
        <is>
          <t>Claimant</t>
        </is>
      </c>
      <c r="D49" s="338" t="inlineStr">
        <is>
          <t>Upon Written Request</t>
        </is>
      </c>
      <c r="E49" s="338" t="inlineStr">
        <is>
          <t>BI Limits; PD Limits; Named Insured Information; Umbrella Coverage; Excess Coverage</t>
        </is>
      </c>
      <c r="F49" s="338" t="inlineStr">
        <is>
          <t>W. Va. Code § 33-6F-2</t>
        </is>
      </c>
      <c r="G49" s="338" t="inlineStr">
        <is>
          <t>https://code.wvlegislature.gov/33-6F-2/</t>
        </is>
      </c>
      <c r="H49" s="338" t="inlineStr">
        <is>
          <t>Statute requires disclosure of liability limits and applicable excess or umbrella coverage information.</t>
        </is>
      </c>
    </row>
    <row r="50">
      <c r="A50" s="338" t="inlineStr">
        <is>
          <t>Wisconsin</t>
        </is>
      </c>
      <c r="B50" s="338" t="inlineStr">
        <is>
          <t>Litigation Only</t>
        </is>
      </c>
      <c r="C50" s="338" t="inlineStr">
        <is>
          <t>Party to Litigation</t>
        </is>
      </c>
      <c r="D50" s="338" t="inlineStr">
        <is>
          <t>Discovery Rules</t>
        </is>
      </c>
      <c r="E50" s="338" t="inlineStr">
        <is>
          <t>Insurance Agreements</t>
        </is>
      </c>
      <c r="F50" s="338" t="inlineStr">
        <is>
          <t>Wis. Stat. § 804.01(2)(b)</t>
        </is>
      </c>
      <c r="G50" s="338" t="inlineStr">
        <is>
          <t>https://docs.legis.wisconsin.gov/document/statutes/804.01%282%29%28b%29</t>
        </is>
      </c>
      <c r="H50" s="338" t="inlineStr">
        <is>
          <t>No identified statutory requirement for pre-suit disclosure of liability policy limits to third-party claimants. Insurance agreements are discoverable during litigation.</t>
        </is>
      </c>
    </row>
    <row r="51">
      <c r="A51" s="338" t="inlineStr">
        <is>
          <t>Wyoming</t>
        </is>
      </c>
      <c r="B51" s="338" t="inlineStr">
        <is>
          <t>Litigation Only</t>
        </is>
      </c>
      <c r="C51" s="338" t="inlineStr">
        <is>
          <t>Party to Litigation</t>
        </is>
      </c>
      <c r="D51" s="338" t="inlineStr">
        <is>
          <t>Discovery Rules</t>
        </is>
      </c>
      <c r="E51" s="338" t="inlineStr">
        <is>
          <t>Insurance Agreements</t>
        </is>
      </c>
      <c r="F51" s="338" t="inlineStr">
        <is>
          <t>Wyo. R. Civ. P. 26(a)(1)(A)(iv)</t>
        </is>
      </c>
      <c r="G51" s="338" t="inlineStr">
        <is>
          <t>https://www.wyocourts.gov/app/uploads/2025/01/Wyoming-Rules-of-Civil-Procedure-August-2024.pdf</t>
        </is>
      </c>
      <c r="H51" s="338" t="inlineStr">
        <is>
          <t>No identified statutory requirement for pre-suit disclosure of liability policy limits to third-party claimants. Insurance agreements are disclosed during litigation.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.47999954223633" customWidth="1" style="355" min="1" max="1"/>
    <col width="4.980000019073486" customWidth="1" style="355" min="2" max="2"/>
    <col width="54.09999847412109" customWidth="1" style="355" min="3" max="3"/>
  </cols>
  <sheetData>
    <row r="1">
      <c r="A1" s="449" t="inlineStr">
        <is>
          <t>Check</t>
        </is>
      </c>
      <c r="B1" s="449" t="inlineStr">
        <is>
          <t>Result</t>
        </is>
      </c>
      <c r="C1" s="449" t="inlineStr">
        <is>
          <t>Notes</t>
        </is>
      </c>
      <c r="D1" s="348" t="n"/>
      <c r="E1" s="348" t="n"/>
      <c r="F1" s="348" t="n"/>
      <c r="G1" s="348" t="n"/>
      <c r="H1" s="348" t="n"/>
      <c r="I1" s="348" t="n"/>
      <c r="J1" s="348" t="n"/>
      <c r="K1" s="348" t="n"/>
      <c r="L1" s="348" t="n"/>
      <c r="M1" s="348" t="n"/>
      <c r="N1" s="348" t="n"/>
      <c r="O1" s="348" t="n"/>
      <c r="P1" s="348" t="n"/>
      <c r="Q1" s="348" t="n"/>
      <c r="R1" s="348" t="n"/>
      <c r="S1" s="348" t="n"/>
      <c r="T1" s="348" t="n"/>
      <c r="U1" s="348" t="n"/>
      <c r="V1" s="348" t="n"/>
      <c r="W1" s="348" t="n"/>
      <c r="X1" s="348" t="n"/>
      <c r="Y1" s="348" t="n"/>
      <c r="Z1" s="348" t="n"/>
    </row>
    <row r="2">
      <c r="A2" s="338" t="inlineStr">
        <is>
          <t>State Count</t>
        </is>
      </c>
      <c r="B2" s="338" t="n">
        <v>50</v>
      </c>
      <c r="C2" s="338" t="inlineStr">
        <is>
          <t>Expected 50 states.</t>
        </is>
      </c>
    </row>
    <row r="3">
      <c r="A3" s="338" t="inlineStr">
        <is>
          <t>Unique State Count</t>
        </is>
      </c>
      <c r="B3" s="338" t="n">
        <v>50</v>
      </c>
      <c r="C3" s="338" t="inlineStr">
        <is>
          <t>Expected 50 unique states.</t>
        </is>
      </c>
    </row>
    <row r="4">
      <c r="A4" s="338" t="inlineStr">
        <is>
          <t>Missing Citations</t>
        </is>
      </c>
      <c r="B4" s="338" t="n">
        <v>0</v>
      </c>
      <c r="C4" s="338" t="inlineStr">
        <is>
          <t>Expected 0.</t>
        </is>
      </c>
    </row>
    <row r="5">
      <c r="A5" s="338" t="inlineStr">
        <is>
          <t>Missing URLs</t>
        </is>
      </c>
      <c r="B5" s="338" t="n">
        <v>0</v>
      </c>
      <c r="C5" s="338" t="inlineStr">
        <is>
          <t>Expected 0 before D2 URL replacements.</t>
        </is>
      </c>
    </row>
    <row r="6">
      <c r="A6" s="338" t="inlineStr">
        <is>
          <t>Pass</t>
        </is>
      </c>
      <c r="B6" s="338" t="n">
        <v>48</v>
      </c>
      <c r="C6" s="338" t="inlineStr">
        <is>
          <t>Rows with no D2 blocking issue.</t>
        </is>
      </c>
    </row>
    <row r="7">
      <c r="A7" s="338" t="inlineStr">
        <is>
          <t>Needs Review</t>
        </is>
      </c>
      <c r="B7" s="338" t="n">
        <v>2</v>
      </c>
      <c r="C7" s="338" t="inlineStr">
        <is>
          <t>Open source-hardening items only; no authority conflicts identified.</t>
        </is>
      </c>
    </row>
    <row r="8">
      <c r="A8" s="338" t="inlineStr">
        <is>
          <t>Authority Conflict</t>
        </is>
      </c>
      <c r="B8" s="338" t="n">
        <v>0</v>
      </c>
      <c r="C8" s="338" t="inlineStr">
        <is>
          <t>No conflicts identified in D2.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24" customWidth="1" style="355" min="2" max="2"/>
    <col width="28" customWidth="1" style="355" min="3" max="3"/>
    <col width="42" customWidth="1" style="355" min="4" max="4"/>
    <col width="50" customWidth="1" style="355" min="5" max="5"/>
    <col width="14" customWidth="1" style="355" min="6" max="6"/>
    <col width="14" customWidth="1" style="355" min="7" max="7"/>
    <col width="18" customWidth="1" style="355" min="8" max="8"/>
    <col width="50" customWidth="1" style="355" min="9" max="9"/>
  </cols>
  <sheetData>
    <row r="1">
      <c r="A1" s="454" t="inlineStr">
        <is>
          <t>State</t>
        </is>
      </c>
      <c r="B1" s="454" t="inlineStr">
        <is>
          <t>Dataset</t>
        </is>
      </c>
      <c r="C1" s="454" t="inlineStr">
        <is>
          <t>Authority Type</t>
        </is>
      </c>
      <c r="D1" s="454" t="inlineStr">
        <is>
          <t>Citation</t>
        </is>
      </c>
      <c r="E1" s="454" t="inlineStr">
        <is>
          <t>URL</t>
        </is>
      </c>
      <c r="F1" s="454" t="inlineStr">
        <is>
          <t>Last Verified</t>
        </is>
      </c>
      <c r="G1" s="454" t="inlineStr">
        <is>
          <t>Next Review</t>
        </is>
      </c>
      <c r="H1" s="454" t="inlineStr">
        <is>
          <t>Verification Status</t>
        </is>
      </c>
      <c r="I1" s="454" t="inlineStr">
        <is>
          <t>Notes</t>
        </is>
      </c>
    </row>
    <row r="2">
      <c r="A2" s="348" t="inlineStr">
        <is>
          <t>Alabama</t>
        </is>
      </c>
      <c r="B2" s="348" t="inlineStr">
        <is>
          <t>Bad Faith</t>
        </is>
      </c>
      <c r="C2" s="348" t="inlineStr">
        <is>
          <t>Court Rule / Case Authority</t>
        </is>
      </c>
      <c r="D2" s="348" t="inlineStr">
        <is>
          <t>Chavers v. National Security Fire &amp; Casualty Co.; Ala. Code § 27-12-24</t>
        </is>
      </c>
      <c r="E2" s="348" t="inlineStr">
        <is>
          <t>https://law.justia.com/codes/alabama/title-27/chapter-12/section-27-12-24/</t>
        </is>
      </c>
      <c r="F2" s="348" t="inlineStr">
        <is>
          <t>2026-06-07</t>
        </is>
      </c>
      <c r="G2" s="348" t="inlineStr">
        <is>
          <t>2027-06-07</t>
        </is>
      </c>
      <c r="H2" s="348" t="inlineStr">
        <is>
          <t>Pass</t>
        </is>
      </c>
      <c r="I2" s="348" t="inlineStr">
        <is>
          <t>Alabama recognizes first-party bad-faith claims; liability-claim settlement remedies are limited and generally tied to the insured.</t>
        </is>
      </c>
    </row>
    <row r="3">
      <c r="A3" s="348" t="inlineStr">
        <is>
          <t>Alabama</t>
        </is>
      </c>
      <c r="B3" s="348" t="inlineStr">
        <is>
          <t>Claims Deadlines</t>
        </is>
      </c>
      <c r="C3" s="348" t="inlineStr">
        <is>
          <t>Administrative Code / Regulation</t>
        </is>
      </c>
      <c r="D3" s="348" t="inlineStr">
        <is>
          <t>Ala. Admin. Code r. 482-1-125-.01 to .11; r. 482-1-124-.01 to .07</t>
        </is>
      </c>
      <c r="E3" s="348" t="inlineStr">
        <is>
          <t>https://www.alabamaadministrativecode.state.al.us</t>
        </is>
      </c>
      <c r="F3" s="348" t="inlineStr">
        <is>
          <t>2026-06-07</t>
        </is>
      </c>
      <c r="G3" s="348" t="inlineStr">
        <is>
          <t>2027-06-07</t>
        </is>
      </c>
      <c r="H3" s="348" t="inlineStr">
        <is>
          <t>Pass</t>
        </is>
      </c>
      <c r="I3" s="348" t="inlineStr">
        <is>
          <t>P&amp;C: respond within 15 days; status within 30 days; 45-day updates; pay within 30 days after liability agreement.</t>
        </is>
      </c>
    </row>
    <row r="4">
      <c r="A4" s="348" t="inlineStr">
        <is>
          <t>Alabama</t>
        </is>
      </c>
      <c r="B4" s="348" t="inlineStr">
        <is>
          <t>Comparative Negligence</t>
        </is>
      </c>
      <c r="C4" s="348" t="inlineStr">
        <is>
          <t>Court Rule / Case Authority</t>
        </is>
      </c>
      <c r="D4" s="348" t="inlineStr">
        <is>
          <t>Golden v. McCurry, 392 So. 2d 815 (Ala. 1980)</t>
        </is>
      </c>
      <c r="E4" s="348" t="inlineStr">
        <is>
          <t>https://law.justia.com/cases/alabama/supreme-court/1980/392-so-2d-815-1.html</t>
        </is>
      </c>
      <c r="F4" s="348" t="inlineStr">
        <is>
          <t>2026-06-07</t>
        </is>
      </c>
      <c r="G4" s="348" t="inlineStr">
        <is>
          <t>2027-06-07</t>
        </is>
      </c>
      <c r="H4" s="348" t="inlineStr">
        <is>
          <t>Pass</t>
        </is>
      </c>
      <c r="I4" s="348" t="inlineStr">
        <is>
          <t>Contributory negligence remains a complete bar to ordinary negligence recovery, subject to recognized exceptions.</t>
        </is>
      </c>
    </row>
    <row r="5">
      <c r="A5" s="348" t="inlineStr">
        <is>
          <t>Alabama</t>
        </is>
      </c>
      <c r="B5" s="348" t="inlineStr">
        <is>
          <t>PIP / No-Fault</t>
        </is>
      </c>
      <c r="C5" s="348" t="inlineStr">
        <is>
          <t>Statute</t>
        </is>
      </c>
      <c r="D5" s="348" t="inlineStr">
        <is>
          <t>Ala. Code § 32-7-6</t>
        </is>
      </c>
      <c r="E5" s="348" t="inlineStr">
        <is>
          <t>https://www.revenue.alabama.gov/tax-types/mandatory-liability-insurance/</t>
        </is>
      </c>
      <c r="F5" s="348" t="inlineStr">
        <is>
          <t>2026-06-07</t>
        </is>
      </c>
      <c r="G5" s="348" t="inlineStr">
        <is>
          <t>2027-06-07</t>
        </is>
      </c>
      <c r="H5" s="348" t="inlineStr">
        <is>
          <t>Pass</t>
        </is>
      </c>
      <c r="I5" s="348" t="inlineStr">
        <is>
          <t>Traditional tort state; PIP is not required.</t>
        </is>
      </c>
    </row>
    <row r="6">
      <c r="A6" s="348" t="inlineStr">
        <is>
          <t>Alabama</t>
        </is>
      </c>
      <c r="B6" s="348" t="inlineStr">
        <is>
          <t>Policy Disclosure</t>
        </is>
      </c>
      <c r="C6" s="348" t="inlineStr">
        <is>
          <t>Court Rule / Case Authority</t>
        </is>
      </c>
      <c r="D6" s="348" t="inlineStr">
        <is>
          <t>Ala. R. Civ. P. 26(b)(3)</t>
        </is>
      </c>
      <c r="E6" s="348" t="inlineStr">
        <is>
          <t>https://judicial.alabama.gov/docs/library/rules/CV26.pdf</t>
        </is>
      </c>
      <c r="F6" s="348" t="inlineStr">
        <is>
          <t>2026-06-07</t>
        </is>
      </c>
      <c r="G6" s="348" t="inlineStr">
        <is>
          <t>2027-06-07</t>
        </is>
      </c>
      <c r="H6" s="348" t="inlineStr">
        <is>
          <t>Pass</t>
        </is>
      </c>
      <c r="I6" s="348" t="inlineStr">
        <is>
          <t>No identified statutory requirement for pre-suit disclosure of liability policy limits to third-party claimants. Insurance agreements are discoverable during litigation.</t>
        </is>
      </c>
    </row>
    <row r="7">
      <c r="A7" s="348" t="inlineStr">
        <is>
          <t>Alabama</t>
        </is>
      </c>
      <c r="B7" s="348" t="inlineStr">
        <is>
          <t>UM/UIM Rules</t>
        </is>
      </c>
      <c r="C7" s="348" t="inlineStr">
        <is>
          <t>Statute</t>
        </is>
      </c>
      <c r="D7" s="348" t="inlineStr">
        <is>
          <t>Ala. Code § 32-7-23</t>
        </is>
      </c>
      <c r="E7" s="348" t="inlineStr">
        <is>
          <t>https://alison.legislature.state.al.us/code-of-alabama</t>
        </is>
      </c>
      <c r="F7" s="348" t="inlineStr">
        <is>
          <t>2026-06-07</t>
        </is>
      </c>
      <c r="G7" s="348" t="inlineStr">
        <is>
          <t>2027-06-07</t>
        </is>
      </c>
      <c r="H7" s="348" t="inlineStr">
        <is>
          <t>Pass</t>
        </is>
      </c>
      <c r="I7" s="348" t="inlineStr">
        <is>
          <t>UM coverage must be included unless rejected by the named insured. Alabama treats underinsured exposure within the UM framework and permits limited stacking subject to statute and policy terms.</t>
        </is>
      </c>
    </row>
    <row r="8">
      <c r="A8" s="348" t="inlineStr">
        <is>
          <t>Alaska</t>
        </is>
      </c>
      <c r="B8" s="348" t="inlineStr">
        <is>
          <t>Bad Faith</t>
        </is>
      </c>
      <c r="C8" s="348" t="inlineStr">
        <is>
          <t>Court Rule / Case Authority</t>
        </is>
      </c>
      <c r="D8" s="348" t="inlineStr">
        <is>
          <t>State Farm Fire &amp; Casualty Co. v. Nicholson; State Farm v. Weiford</t>
        </is>
      </c>
      <c r="E8" s="348" t="inlineStr">
        <is>
          <t>https://law.justia.com/cases/alaska/supreme-court/1989/s-2303-1.html</t>
        </is>
      </c>
      <c r="F8" s="348" t="inlineStr">
        <is>
          <t>2026-06-07</t>
        </is>
      </c>
      <c r="G8" s="348" t="inlineStr">
        <is>
          <t>2027-06-07</t>
        </is>
      </c>
      <c r="H8" s="348" t="inlineStr">
        <is>
          <t>Pass</t>
        </is>
      </c>
      <c r="I8" s="348" t="inlineStr">
        <is>
          <t>Alaska recognizes first-party insurer bad faith; third-party bad-faith remedies are limited.</t>
        </is>
      </c>
    </row>
    <row r="9">
      <c r="A9" s="348" t="inlineStr">
        <is>
          <t>Alaska</t>
        </is>
      </c>
      <c r="B9" s="348" t="inlineStr">
        <is>
          <t>Claims Deadlines</t>
        </is>
      </c>
      <c r="C9" s="348" t="inlineStr">
        <is>
          <t>Administrative Code / Regulation</t>
        </is>
      </c>
      <c r="D9" s="348" t="inlineStr">
        <is>
          <t>3 AAC 26.040 to 26.070</t>
        </is>
      </c>
      <c r="E9" s="348" t="inlineStr">
        <is>
          <t>https://www.akleg.gov/basis/aac.asp</t>
        </is>
      </c>
      <c r="F9" s="348" t="inlineStr">
        <is>
          <t>2026-06-07</t>
        </is>
      </c>
      <c r="G9" s="348" t="inlineStr">
        <is>
          <t>2027-06-07</t>
        </is>
      </c>
      <c r="H9" s="348" t="inlineStr">
        <is>
          <t>Pass</t>
        </is>
      </c>
      <c r="I9" s="348" t="inlineStr">
        <is>
          <t>Insurer must acknowledge within 10 working days and accept or deny first-party claims within 15 working days after proof.</t>
        </is>
      </c>
    </row>
    <row r="10">
      <c r="A10" s="348" t="inlineStr">
        <is>
          <t>Alaska</t>
        </is>
      </c>
      <c r="B10" s="348" t="inlineStr">
        <is>
          <t>Comparative Negligence</t>
        </is>
      </c>
      <c r="C10" s="348" t="inlineStr">
        <is>
          <t>Statute</t>
        </is>
      </c>
      <c r="D10" s="348" t="inlineStr">
        <is>
          <t>AS § 09.17.080</t>
        </is>
      </c>
      <c r="E10" s="348" t="inlineStr">
        <is>
          <t>https://www.akleg.gov/basis/statutes.asp#09.17.080</t>
        </is>
      </c>
      <c r="F10" s="348" t="inlineStr">
        <is>
          <t>2026-06-07</t>
        </is>
      </c>
      <c r="G10" s="348" t="inlineStr">
        <is>
          <t>2027-06-07</t>
        </is>
      </c>
      <c r="H10" s="348" t="inlineStr">
        <is>
          <t>Pass</t>
        </is>
      </c>
      <c r="I10" s="348" t="inlineStr">
        <is>
          <t>Damages are allocated according to percentage of fault.</t>
        </is>
      </c>
    </row>
    <row r="11">
      <c r="A11" s="348" t="inlineStr">
        <is>
          <t>Alaska</t>
        </is>
      </c>
      <c r="B11" s="348" t="inlineStr">
        <is>
          <t>PIP / No-Fault</t>
        </is>
      </c>
      <c r="C11" s="348" t="inlineStr">
        <is>
          <t>Statute</t>
        </is>
      </c>
      <c r="D11" s="348" t="inlineStr">
        <is>
          <t>AS § 28.22.101</t>
        </is>
      </c>
      <c r="E11" s="348" t="inlineStr">
        <is>
          <t>https://www.akleg.gov/basis/statutes.asp</t>
        </is>
      </c>
      <c r="F11" s="348" t="inlineStr">
        <is>
          <t>2026-06-07</t>
        </is>
      </c>
      <c r="G11" s="348" t="inlineStr">
        <is>
          <t>2027-06-07</t>
        </is>
      </c>
      <c r="H11" s="348" t="inlineStr">
        <is>
          <t>Pass</t>
        </is>
      </c>
      <c r="I11" s="348" t="inlineStr">
        <is>
          <t>Traditional tort state; PIP is not required.</t>
        </is>
      </c>
    </row>
    <row r="12">
      <c r="A12" s="348" t="inlineStr">
        <is>
          <t>Alaska</t>
        </is>
      </c>
      <c r="B12" s="348" t="inlineStr">
        <is>
          <t>Policy Disclosure</t>
        </is>
      </c>
      <c r="C12" s="348" t="inlineStr">
        <is>
          <t>Court Rule / Case Authority</t>
        </is>
      </c>
      <c r="D12" s="348" t="inlineStr">
        <is>
          <t>Alaska R. Civ. P. 26(a)(1)(F)</t>
        </is>
      </c>
      <c r="E12" s="348" t="inlineStr">
        <is>
          <t>https://courts.alaska.gov/rules/docs/civ.pdf</t>
        </is>
      </c>
      <c r="F12" s="348" t="inlineStr">
        <is>
          <t>2026-06-07</t>
        </is>
      </c>
      <c r="G12" s="348" t="inlineStr">
        <is>
          <t>2027-06-07</t>
        </is>
      </c>
      <c r="H12" s="348" t="inlineStr">
        <is>
          <t>Pass</t>
        </is>
      </c>
      <c r="I12" s="348" t="inlineStr">
        <is>
          <t>No identified statutory requirement for pre-suit disclosure of liability policy limits to third-party claimants. Insurance agreements are disclosed in litigation.</t>
        </is>
      </c>
    </row>
    <row r="13">
      <c r="A13" s="348" t="inlineStr">
        <is>
          <t>Arizona</t>
        </is>
      </c>
      <c r="B13" s="348" t="inlineStr">
        <is>
          <t>Bad Faith</t>
        </is>
      </c>
      <c r="C13" s="348" t="inlineStr">
        <is>
          <t>Court Rule / Case Authority</t>
        </is>
      </c>
      <c r="D13" s="348" t="inlineStr">
        <is>
          <t>Noble v. National American Life; Farmers v. Henderson; Clearwater v. State Farm</t>
        </is>
      </c>
      <c r="E13" s="348" t="inlineStr">
        <is>
          <t>https://law.justia.com/cases/arizona/supreme-court/1990/cv-89-0175-pr-2.html</t>
        </is>
      </c>
      <c r="F13" s="348" t="inlineStr">
        <is>
          <t>2026-06-07</t>
        </is>
      </c>
      <c r="G13" s="348" t="inlineStr">
        <is>
          <t>2027-06-07</t>
        </is>
      </c>
      <c r="H13" s="348" t="inlineStr">
        <is>
          <t>Pass</t>
        </is>
      </c>
      <c r="I13" s="348" t="inlineStr">
        <is>
          <t>Arizona recognizes common-law first-party and third-party insurer bad-faith claims.</t>
        </is>
      </c>
    </row>
    <row r="14">
      <c r="A14" s="348" t="inlineStr">
        <is>
          <t>Arizona</t>
        </is>
      </c>
      <c r="B14" s="348" t="inlineStr">
        <is>
          <t>Claims Deadlines</t>
        </is>
      </c>
      <c r="C14" s="348" t="inlineStr">
        <is>
          <t>Administrative Code / Regulation</t>
        </is>
      </c>
      <c r="D14" s="348" t="inlineStr">
        <is>
          <t>A.R.S. § 20-462; Ariz. Admin. Code R20-6-801</t>
        </is>
      </c>
      <c r="E14" s="348" t="inlineStr">
        <is>
          <t>https://apps.azsos.gov/public_services/Title_20/20-06.pdf</t>
        </is>
      </c>
      <c r="F14" s="348" t="inlineStr">
        <is>
          <t>2026-06-07</t>
        </is>
      </c>
      <c r="G14" s="348" t="inlineStr">
        <is>
          <t>2027-06-07</t>
        </is>
      </c>
      <c r="H14" s="348" t="inlineStr">
        <is>
          <t>Pass</t>
        </is>
      </c>
      <c r="I14" s="348" t="inlineStr">
        <is>
          <t>Investigation should be completed within 30 days unless more time is reasonably needed; delay notices required.</t>
        </is>
      </c>
    </row>
    <row r="15">
      <c r="A15" s="348" t="inlineStr">
        <is>
          <t>Arizona</t>
        </is>
      </c>
      <c r="B15" s="348" t="inlineStr">
        <is>
          <t>Comparative Negligence</t>
        </is>
      </c>
      <c r="C15" s="348" t="inlineStr">
        <is>
          <t>Statute</t>
        </is>
      </c>
      <c r="D15" s="348" t="inlineStr">
        <is>
          <t>A.R.S. § 12-2505</t>
        </is>
      </c>
      <c r="E15" s="348" t="inlineStr">
        <is>
          <t>https://www.azleg.gov/ars/12/02505.htm</t>
        </is>
      </c>
      <c r="F15" s="348" t="inlineStr">
        <is>
          <t>2026-06-07</t>
        </is>
      </c>
      <c r="G15" s="348" t="inlineStr">
        <is>
          <t>2027-06-07</t>
        </is>
      </c>
      <c r="H15" s="348" t="inlineStr">
        <is>
          <t>Pass</t>
        </is>
      </c>
      <c r="I15" s="348" t="inlineStr">
        <is>
          <t>Damages are reduced in proportion to claimant fault; intentional, willful, or wanton conduct is treated separately.</t>
        </is>
      </c>
    </row>
    <row r="16">
      <c r="A16" s="348" t="inlineStr">
        <is>
          <t>Arizona</t>
        </is>
      </c>
      <c r="B16" s="348" t="inlineStr">
        <is>
          <t>PIP / No-Fault</t>
        </is>
      </c>
      <c r="C16" s="348" t="inlineStr">
        <is>
          <t>Statute</t>
        </is>
      </c>
      <c r="D16" s="348" t="inlineStr">
        <is>
          <t>A.R.S. § 28-4009</t>
        </is>
      </c>
      <c r="E16" s="348" t="inlineStr">
        <is>
          <t>https://www.azleg.gov/arsDetail/?title=28</t>
        </is>
      </c>
      <c r="F16" s="348" t="inlineStr">
        <is>
          <t>2026-06-07</t>
        </is>
      </c>
      <c r="G16" s="348" t="inlineStr">
        <is>
          <t>2027-06-07</t>
        </is>
      </c>
      <c r="H16" s="348" t="inlineStr">
        <is>
          <t>Pass</t>
        </is>
      </c>
      <c r="I16" s="348" t="inlineStr">
        <is>
          <t>Traditional tort state; PIP is not required.</t>
        </is>
      </c>
    </row>
    <row r="17">
      <c r="A17" s="348" t="inlineStr">
        <is>
          <t>Arizona</t>
        </is>
      </c>
      <c r="B17" s="348" t="inlineStr">
        <is>
          <t>Policy Disclosure</t>
        </is>
      </c>
      <c r="C17" s="348" t="inlineStr">
        <is>
          <t>Court Rule / Case Authority</t>
        </is>
      </c>
      <c r="D17" s="348" t="inlineStr">
        <is>
          <t>Ariz. R. Civ. P. 26.1(a)(10)</t>
        </is>
      </c>
      <c r="E17" s="348" t="inlineStr">
        <is>
          <t>https://www.azcourts.gov/rules/Arizona-Rules-of-Civil-Procedure</t>
        </is>
      </c>
      <c r="F17" s="348" t="inlineStr">
        <is>
          <t>2026-06-07</t>
        </is>
      </c>
      <c r="G17" s="348" t="inlineStr">
        <is>
          <t>2027-06-07</t>
        </is>
      </c>
      <c r="H17" s="348" t="inlineStr">
        <is>
          <t>Pass</t>
        </is>
      </c>
      <c r="I17" s="348" t="inlineStr">
        <is>
          <t>No identified statutory requirement for pre-suit disclosure of liability policy limits to third-party claimants. Insurance agreements are disclosed in litigation.</t>
        </is>
      </c>
    </row>
    <row r="18">
      <c r="A18" s="348" t="inlineStr">
        <is>
          <t>Arizona</t>
        </is>
      </c>
      <c r="B18" s="348" t="inlineStr">
        <is>
          <t>UM/UIM Rules</t>
        </is>
      </c>
      <c r="C18" s="348" t="inlineStr">
        <is>
          <t>Statute</t>
        </is>
      </c>
      <c r="D18" s="348" t="inlineStr">
        <is>
          <t>A.R.S. § 20-259.01</t>
        </is>
      </c>
      <c r="E18" s="348" t="inlineStr">
        <is>
          <t>https://www.azleg.gov/ars/20/00259-01.htm</t>
        </is>
      </c>
      <c r="F18" s="348" t="inlineStr">
        <is>
          <t>2026-06-07</t>
        </is>
      </c>
      <c r="G18" s="348" t="inlineStr">
        <is>
          <t>2027-06-07</t>
        </is>
      </c>
      <c r="H18" s="348" t="inlineStr">
        <is>
          <t>Pass</t>
        </is>
      </c>
      <c r="I18" s="348" t="inlineStr">
        <is>
          <t>Arizona requires insurers to offer UM and UIM coverage, but the coverage is not mandatory if rejected in writing. Available limits and stacking depend on the policy and statutory requirements.</t>
        </is>
      </c>
    </row>
    <row r="19">
      <c r="A19" s="348" t="inlineStr">
        <is>
          <t>Arkansas</t>
        </is>
      </c>
      <c r="B19" s="348" t="inlineStr">
        <is>
          <t>Bad Faith</t>
        </is>
      </c>
      <c r="C19" s="348" t="inlineStr">
        <is>
          <t>Court Rule / Case Authority</t>
        </is>
      </c>
      <c r="D19" s="348" t="inlineStr">
        <is>
          <t>Aetna Casualty &amp; Surety Co. v. Broadway Arms; Ark. Code § 23-79-208</t>
        </is>
      </c>
      <c r="E19" s="348" t="inlineStr">
        <is>
          <t>https://law.justia.com/codes/arkansas/title-23/subtitle-3/chapter-79/subchapter-2/section-23-79-208/</t>
        </is>
      </c>
      <c r="F19" s="348" t="inlineStr">
        <is>
          <t>2026-06-07</t>
        </is>
      </c>
      <c r="G19" s="348" t="inlineStr">
        <is>
          <t>2027-06-07</t>
        </is>
      </c>
      <c r="H19" s="348" t="inlineStr">
        <is>
          <t>Pass</t>
        </is>
      </c>
      <c r="I19" s="348" t="inlineStr">
        <is>
          <t>Arkansas recognizes a narrow first-party bad-faith tort and statutory remedies for certain unpaid covered losses.</t>
        </is>
      </c>
    </row>
    <row r="20">
      <c r="A20" s="348" t="inlineStr">
        <is>
          <t>Arkansas</t>
        </is>
      </c>
      <c r="B20" s="348" t="inlineStr">
        <is>
          <t>Claims Deadlines</t>
        </is>
      </c>
      <c r="C20" s="348" t="inlineStr">
        <is>
          <t>Court Rule / Case Authority</t>
        </is>
      </c>
      <c r="D20" s="348" t="inlineStr">
        <is>
          <t>Ark. Ins. Rule 43; Ark. Code Ann. § 23-66-215</t>
        </is>
      </c>
      <c r="E20" s="348" t="inlineStr">
        <is>
          <t>https://codeofarrules.arkansas.gov/Rules/Rule?chapterID=39&amp;levelType=section&amp;partID=615&amp;sectionID=27084&amp;subChapterID=187&amp;subPartID=4304&amp;titleID=23</t>
        </is>
      </c>
      <c r="F20" s="348" t="inlineStr">
        <is>
          <t>2026-06-07</t>
        </is>
      </c>
      <c r="G20" s="348" t="inlineStr">
        <is>
          <t>2027-06-07</t>
        </is>
      </c>
      <c r="H20" s="348" t="inlineStr">
        <is>
          <t>Pass</t>
        </is>
      </c>
      <c r="I20" s="348" t="inlineStr">
        <is>
          <t>Insurer must acknowledge within 15 working days and complete investigation within 45 days or explain delay.</t>
        </is>
      </c>
    </row>
    <row r="21">
      <c r="A21" s="348" t="inlineStr">
        <is>
          <t>Arkansas</t>
        </is>
      </c>
      <c r="B21" s="348" t="inlineStr">
        <is>
          <t>Comparative Negligence</t>
        </is>
      </c>
      <c r="C21" s="348" t="inlineStr">
        <is>
          <t>Statute</t>
        </is>
      </c>
      <c r="D21" s="348" t="inlineStr">
        <is>
          <t>Ark. Code Ann. § 16-64-122</t>
        </is>
      </c>
      <c r="E21" s="348" t="inlineStr">
        <is>
          <t>https://law.justia.com/codes/arkansas/title-16/subtitle-5/chapter-64/section-16-64-122/</t>
        </is>
      </c>
      <c r="F21" s="348" t="inlineStr">
        <is>
          <t>2026-06-07</t>
        </is>
      </c>
      <c r="G21" s="348" t="inlineStr">
        <is>
          <t>2027-06-07</t>
        </is>
      </c>
      <c r="H21" s="348" t="inlineStr">
        <is>
          <t>Pass</t>
        </is>
      </c>
      <c r="I21" s="348" t="inlineStr">
        <is>
          <t>Claimant may recover only when claimant fault is less than the fault of the party or parties from whom recovery is sought.</t>
        </is>
      </c>
    </row>
    <row r="22">
      <c r="A22" s="348" t="inlineStr">
        <is>
          <t>Arkansas</t>
        </is>
      </c>
      <c r="B22" s="348" t="inlineStr">
        <is>
          <t>PIP / No-Fault</t>
        </is>
      </c>
      <c r="C22" s="348" t="inlineStr">
        <is>
          <t>Statute</t>
        </is>
      </c>
      <c r="D22" s="348" t="inlineStr">
        <is>
          <t>Ark. Code Ann. §§ 23-89-202; 23-89-203</t>
        </is>
      </c>
      <c r="E22" s="348" t="inlineStr">
        <is>
          <t>https://arkleg.state.ar.us/ArkansasLaw</t>
        </is>
      </c>
      <c r="F22" s="348" t="inlineStr">
        <is>
          <t>2026-06-07</t>
        </is>
      </c>
      <c r="G22" s="348" t="inlineStr">
        <is>
          <t>2027-06-07</t>
        </is>
      </c>
      <c r="H22" s="348" t="inlineStr">
        <is>
          <t>Pass</t>
        </is>
      </c>
      <c r="I22" s="348" t="inlineStr">
        <is>
          <t>Arkansas is a tort state, but policies include first-party no-fault benefits unless rejected.</t>
        </is>
      </c>
    </row>
    <row r="23">
      <c r="A23" s="348" t="inlineStr">
        <is>
          <t>Arkansas</t>
        </is>
      </c>
      <c r="B23" s="348" t="inlineStr">
        <is>
          <t>Policy Disclosure</t>
        </is>
      </c>
      <c r="C23" s="348" t="inlineStr">
        <is>
          <t>Administrative Code / Regulation</t>
        </is>
      </c>
      <c r="D23" s="348" t="inlineStr">
        <is>
          <t>Ark. R. Civ. P. 26(b)(2)</t>
        </is>
      </c>
      <c r="E23" s="348" t="inlineStr">
        <is>
          <t>https://www.arcourts.gov/rules-and-administrative-orders/court-rules/rule-26-general-provisions-governing-discovery</t>
        </is>
      </c>
      <c r="F23" s="348" t="inlineStr">
        <is>
          <t>2026-06-07</t>
        </is>
      </c>
      <c r="G23" s="348" t="inlineStr">
        <is>
          <t>2027-06-07</t>
        </is>
      </c>
      <c r="H23" s="348" t="inlineStr">
        <is>
          <t>Pass</t>
        </is>
      </c>
      <c r="I23" s="348" t="inlineStr">
        <is>
          <t>No identified statutory requirement for pre-suit disclosure of liability policy limits to third-party claimants. Insurance agreements are discoverable during litigation.</t>
        </is>
      </c>
    </row>
    <row r="24">
      <c r="A24" s="348" t="inlineStr">
        <is>
          <t>Arkansas</t>
        </is>
      </c>
      <c r="B24" s="348" t="inlineStr">
        <is>
          <t>UM/UIM Rules</t>
        </is>
      </c>
      <c r="C24" s="348" t="inlineStr">
        <is>
          <t>Statute</t>
        </is>
      </c>
      <c r="D24" s="348" t="inlineStr">
        <is>
          <t>Ark. Code §§ 23-89-403; 23-89-209</t>
        </is>
      </c>
      <c r="E24" s="348" t="inlineStr">
        <is>
          <t>https://www.arkleg.state.ar.us/ArkansasLaw</t>
        </is>
      </c>
      <c r="F24" s="348" t="inlineStr">
        <is>
          <t>2026-06-07</t>
        </is>
      </c>
      <c r="G24" s="348" t="inlineStr">
        <is>
          <t>2027-06-07</t>
        </is>
      </c>
      <c r="H24" s="348" t="inlineStr">
        <is>
          <t>Pass</t>
        </is>
      </c>
      <c r="I24" s="348" t="inlineStr">
        <is>
          <t>Arkansas requires UM coverage to be made available and separately governs UIM coverage, but insureds may reject coverage in writing. Stacking depends on statute and policy language.</t>
        </is>
      </c>
    </row>
    <row r="25">
      <c r="A25" s="348" t="inlineStr">
        <is>
          <t>California</t>
        </is>
      </c>
      <c r="B25" s="348" t="inlineStr">
        <is>
          <t>Bad Faith</t>
        </is>
      </c>
      <c r="C25" s="348" t="inlineStr">
        <is>
          <t>Court Rule / Case Authority</t>
        </is>
      </c>
      <c r="D25" s="348" t="inlineStr">
        <is>
          <t>Gruenberg v. Aetna; Moradi-Shalal; Cal. Ins. Code § 790.03</t>
        </is>
      </c>
      <c r="E25" s="348" t="inlineStr">
        <is>
          <t>https://leginfo.legislature.ca.gov/faces/codes_displaySection.xhtml?sectionNum=790.03&amp;lawCode=INS</t>
        </is>
      </c>
      <c r="F25" s="348" t="inlineStr">
        <is>
          <t>2026-06-07</t>
        </is>
      </c>
      <c r="G25" s="348" t="inlineStr">
        <is>
          <t>2027-06-07</t>
        </is>
      </c>
      <c r="H25" s="348" t="inlineStr">
        <is>
          <t>Pass</t>
        </is>
      </c>
      <c r="I25" s="348" t="inlineStr">
        <is>
          <t>California recognizes insured bad-faith claims under the implied covenant; third-party direct claims under unfair-claims statutes are generally barred.</t>
        </is>
      </c>
    </row>
    <row r="26">
      <c r="A26" s="348" t="inlineStr">
        <is>
          <t>California</t>
        </is>
      </c>
      <c r="B26" s="348" t="inlineStr">
        <is>
          <t>Claims Deadlines</t>
        </is>
      </c>
      <c r="C26" s="348" t="inlineStr">
        <is>
          <t>Administrative Code / Regulation</t>
        </is>
      </c>
      <c r="D26" s="348" t="inlineStr">
        <is>
          <t>10 Cal. Code Regs. §§ 2695.1 to 2695.14</t>
        </is>
      </c>
      <c r="E26" s="348" t="inlineStr">
        <is>
          <t>https://www.insurance.ca.gov/01-consumers/130-laws-regs-hearings/05-CCR/fair-claims-regs.cfm</t>
        </is>
      </c>
      <c r="F26" s="348" t="inlineStr">
        <is>
          <t>2026-06-07</t>
        </is>
      </c>
      <c r="G26" s="348" t="inlineStr">
        <is>
          <t>2027-06-07</t>
        </is>
      </c>
      <c r="H26" s="348" t="inlineStr">
        <is>
          <t>Pass</t>
        </is>
      </c>
      <c r="I26" s="348" t="inlineStr">
        <is>
          <t>Insurer must acknowledge communications within 15 days and accept or deny within 40 days after proof of claim.</t>
        </is>
      </c>
    </row>
    <row r="27">
      <c r="A27" s="348" t="inlineStr">
        <is>
          <t>California</t>
        </is>
      </c>
      <c r="B27" s="348" t="inlineStr">
        <is>
          <t>Comparative Negligence</t>
        </is>
      </c>
      <c r="C27" s="348" t="inlineStr">
        <is>
          <t>Court Rule / Case Authority</t>
        </is>
      </c>
      <c r="D27" s="348" t="inlineStr">
        <is>
          <t>Li v. Yellow Cab Co., 13 Cal. 3d 804 (1975)</t>
        </is>
      </c>
      <c r="E27" s="348" t="inlineStr">
        <is>
          <t>https://law.justia.com/cases/california/supreme-court/3d/13/804.html</t>
        </is>
      </c>
      <c r="F27" s="348" t="inlineStr">
        <is>
          <t>2026-06-07</t>
        </is>
      </c>
      <c r="G27" s="348" t="inlineStr">
        <is>
          <t>2027-06-07</t>
        </is>
      </c>
      <c r="H27" s="348" t="inlineStr">
        <is>
          <t>Pass</t>
        </is>
      </c>
      <c r="I27" s="348" t="inlineStr">
        <is>
          <t>California follows pure comparative negligence; damages are reduced by claimant percentage of fault.</t>
        </is>
      </c>
    </row>
    <row r="28">
      <c r="A28" s="348" t="inlineStr">
        <is>
          <t>California</t>
        </is>
      </c>
      <c r="B28" s="348" t="inlineStr">
        <is>
          <t>PIP / No-Fault</t>
        </is>
      </c>
      <c r="C28" s="348" t="inlineStr">
        <is>
          <t>Statute</t>
        </is>
      </c>
      <c r="D28" s="348" t="inlineStr">
        <is>
          <t>Cal. Veh. Code § 16056</t>
        </is>
      </c>
      <c r="E28" s="348" t="inlineStr">
        <is>
          <t>https://leginfo.legislature.ca.gov/faces/codes_displaySection.xhtml?sectionNum=16056&amp;lawCode=VEH</t>
        </is>
      </c>
      <c r="F28" s="348" t="inlineStr">
        <is>
          <t>2026-06-07</t>
        </is>
      </c>
      <c r="G28" s="348" t="inlineStr">
        <is>
          <t>2027-06-07</t>
        </is>
      </c>
      <c r="H28" s="348" t="inlineStr">
        <is>
          <t>Pass</t>
        </is>
      </c>
      <c r="I28" s="348" t="inlineStr">
        <is>
          <t>Traditional tort state; PIP is not required.</t>
        </is>
      </c>
    </row>
    <row r="29">
      <c r="A29" s="348" t="inlineStr">
        <is>
          <t>California</t>
        </is>
      </c>
      <c r="B29" s="348" t="inlineStr">
        <is>
          <t>Policy Disclosure</t>
        </is>
      </c>
      <c r="C29" s="348" t="inlineStr">
        <is>
          <t>Court Rule / Case Authority</t>
        </is>
      </c>
      <c r="D29" s="348" t="inlineStr">
        <is>
          <t>Cal. Code Civ. Proc. § 2017.210</t>
        </is>
      </c>
      <c r="E29" s="348" t="inlineStr">
        <is>
          <t>https://leginfo.legislature.ca.gov/faces/codes_displaySection.xhtml?sectionNum=2017.210&amp;lawCode=CCP</t>
        </is>
      </c>
      <c r="F29" s="348" t="inlineStr">
        <is>
          <t>2026-06-07</t>
        </is>
      </c>
      <c r="G29" s="348" t="inlineStr">
        <is>
          <t>2027-06-07</t>
        </is>
      </c>
      <c r="H29" s="348" t="inlineStr">
        <is>
          <t>Pass</t>
        </is>
      </c>
      <c r="I29" s="348" t="inlineStr">
        <is>
          <t>Allows discovery of insurance agreements after litigation begins; no broad pre-suit claimant policy-limits disclosure requirement was identified.</t>
        </is>
      </c>
    </row>
    <row r="30">
      <c r="A30" s="348" t="inlineStr">
        <is>
          <t>California</t>
        </is>
      </c>
      <c r="B30" s="348" t="inlineStr">
        <is>
          <t>UM/UIM Rules</t>
        </is>
      </c>
      <c r="C30" s="348" t="inlineStr">
        <is>
          <t>Statute</t>
        </is>
      </c>
      <c r="D30" s="348" t="inlineStr">
        <is>
          <t>Cal. Ins. Code § 11580.2</t>
        </is>
      </c>
      <c r="E30" s="348" t="inlineStr">
        <is>
          <t>https://leginfo.legislature.ca.gov/faces/codes_displaySection.xhtml?lawCode=INS&amp;sectionNum=11580.2</t>
        </is>
      </c>
      <c r="F30" s="348" t="inlineStr">
        <is>
          <t>2026-06-07</t>
        </is>
      </c>
      <c r="G30" s="348" t="inlineStr">
        <is>
          <t>2027-06-07</t>
        </is>
      </c>
      <c r="H30" s="348" t="inlineStr">
        <is>
          <t>Pass</t>
        </is>
      </c>
      <c r="I30" s="348" t="inlineStr">
        <is>
          <t>California requires uninsured motorist coverage unless waived by written agreement; underinsured motorist procedures are governed within the same statutory section.</t>
        </is>
      </c>
    </row>
    <row r="31">
      <c r="A31" s="348" t="inlineStr">
        <is>
          <t>Colorado</t>
        </is>
      </c>
      <c r="B31" s="348" t="inlineStr">
        <is>
          <t>Bad Faith</t>
        </is>
      </c>
      <c r="C31" s="348" t="inlineStr">
        <is>
          <t>Court Rule / Case Authority</t>
        </is>
      </c>
      <c r="D31" s="348" t="inlineStr">
        <is>
          <t>Colo. Rev. Stat. §§ 10-3-1115, 10-3-1116</t>
        </is>
      </c>
      <c r="E31" s="348" t="inlineStr">
        <is>
          <t>https://codes.findlaw.com/co/title-10-insurance/co-rev-st-sect-10-3-1116/</t>
        </is>
      </c>
      <c r="F31" s="348" t="inlineStr">
        <is>
          <t>2026-06-07</t>
        </is>
      </c>
      <c r="G31" s="348" t="inlineStr">
        <is>
          <t>2027-06-07</t>
        </is>
      </c>
      <c r="H31" s="348" t="inlineStr">
        <is>
          <t>Pass</t>
        </is>
      </c>
      <c r="I31" s="348" t="inlineStr">
        <is>
          <t>Colorado provides statutory remedies for unreasonable delay or denial of first-party benefits; liability-claim settlement duties are more limited.</t>
        </is>
      </c>
    </row>
    <row r="32">
      <c r="A32" s="348" t="inlineStr">
        <is>
          <t>Colorado</t>
        </is>
      </c>
      <c r="B32" s="348" t="inlineStr">
        <is>
          <t>Claims Deadlines</t>
        </is>
      </c>
      <c r="C32" s="348" t="inlineStr">
        <is>
          <t>Administrative Code / Regulation</t>
        </is>
      </c>
      <c r="D32" s="348" t="inlineStr">
        <is>
          <t>Colo. Rev. Stat. § 10-3-1104; 3 CCR 702-5:5-1-14</t>
        </is>
      </c>
      <c r="E32" s="348" t="inlineStr">
        <is>
          <t>https://doi.colorado.gov/for-consumers/file-a-complaint/consumer-resources/laws-regulations-bulletins</t>
        </is>
      </c>
      <c r="F32" s="348" t="inlineStr">
        <is>
          <t>2026-06-07</t>
        </is>
      </c>
      <c r="G32" s="348" t="inlineStr">
        <is>
          <t>2027-06-07</t>
        </is>
      </c>
      <c r="H32" s="348" t="inlineStr">
        <is>
          <t>Pass</t>
        </is>
      </c>
      <c r="I32" s="348" t="inlineStr">
        <is>
          <t>First-party P&amp;C valid claims generally must be paid within 60 days; delay notices continue every 30 days.</t>
        </is>
      </c>
    </row>
    <row r="33">
      <c r="A33" s="348" t="inlineStr">
        <is>
          <t>Colorado</t>
        </is>
      </c>
      <c r="B33" s="348" t="inlineStr">
        <is>
          <t>Comparative Negligence</t>
        </is>
      </c>
      <c r="C33" s="348" t="inlineStr">
        <is>
          <t>Court Rule / Case Authority</t>
        </is>
      </c>
      <c r="D33" s="348" t="inlineStr">
        <is>
          <t>Colo. Rev. Stat. § 13-21-111</t>
        </is>
      </c>
      <c r="E33" s="348" t="inlineStr">
        <is>
          <t>https://leg.colorado.gov/sites/default/files/images/olls/crs2021-title-13.pdf</t>
        </is>
      </c>
      <c r="F33" s="348" t="inlineStr">
        <is>
          <t>2026-06-07</t>
        </is>
      </c>
      <c r="G33" s="348" t="inlineStr">
        <is>
          <t>2027-06-07</t>
        </is>
      </c>
      <c r="H33" s="348" t="inlineStr">
        <is>
          <t>Pass</t>
        </is>
      </c>
      <c r="I33" s="348" t="inlineStr">
        <is>
          <t>Claimant is barred when claimant negligence is equal to or greater than the negligence of the person against whom recovery is sought.</t>
        </is>
      </c>
    </row>
    <row r="34">
      <c r="A34" s="348" t="inlineStr">
        <is>
          <t>Colorado</t>
        </is>
      </c>
      <c r="B34" s="348" t="inlineStr">
        <is>
          <t>PIP / No-Fault</t>
        </is>
      </c>
      <c r="C34" s="348" t="inlineStr">
        <is>
          <t>Court Rule / Case Authority</t>
        </is>
      </c>
      <c r="D34" s="348" t="inlineStr">
        <is>
          <t>Colo. Rev. Stat. Title 10, Article 4</t>
        </is>
      </c>
      <c r="E34" s="348" t="inlineStr">
        <is>
          <t>https://leg.colorado.gov/colorado-revised-statutes</t>
        </is>
      </c>
      <c r="F34" s="348" t="inlineStr">
        <is>
          <t>2026-06-07</t>
        </is>
      </c>
      <c r="G34" s="348" t="inlineStr">
        <is>
          <t>2027-06-07</t>
        </is>
      </c>
      <c r="H34" s="348" t="inlineStr">
        <is>
          <t>Pass</t>
        </is>
      </c>
      <c r="I34" s="348" t="inlineStr">
        <is>
          <t>Former no-fault state; currently operates under a tort-based auto insurance system.</t>
        </is>
      </c>
    </row>
    <row r="35">
      <c r="A35" s="348" t="inlineStr">
        <is>
          <t>Colorado</t>
        </is>
      </c>
      <c r="B35" s="348" t="inlineStr">
        <is>
          <t>Policy Disclosure</t>
        </is>
      </c>
      <c r="C35" s="348" t="inlineStr">
        <is>
          <t>Court Rule / Case Authority</t>
        </is>
      </c>
      <c r="D35" s="348" t="inlineStr">
        <is>
          <t>Colo. Rev. Stat. § 10-3-1117</t>
        </is>
      </c>
      <c r="E35" s="348" t="inlineStr">
        <is>
          <t>https://leg.colorado.gov/laws/session-laws/4271/download</t>
        </is>
      </c>
      <c r="F35" s="348" t="inlineStr">
        <is>
          <t>2026-06-07</t>
        </is>
      </c>
      <c r="G35" s="348" t="inlineStr">
        <is>
          <t>2027-06-07</t>
        </is>
      </c>
      <c r="H35" s="348" t="inlineStr">
        <is>
          <t>Pass</t>
        </is>
      </c>
      <c r="I35" s="348" t="inlineStr">
        <is>
          <t>Insurer must provide specified auto liability coverage information within 30 days after written request from a claimant or claimant attorney. Includes known excess or umbrella insurance relevant to the claim.</t>
        </is>
      </c>
    </row>
    <row r="36">
      <c r="A36" s="348" t="inlineStr">
        <is>
          <t>Colorado</t>
        </is>
      </c>
      <c r="B36" s="348" t="inlineStr">
        <is>
          <t>UM/UIM Rules</t>
        </is>
      </c>
      <c r="C36" s="348" t="inlineStr">
        <is>
          <t>Court Rule / Case Authority</t>
        </is>
      </c>
      <c r="D36" s="348" t="inlineStr">
        <is>
          <t>Colo. Rev. Stat. § 10-4-609</t>
        </is>
      </c>
      <c r="E36" s="348" t="inlineStr">
        <is>
          <t>https://leg.colorado.gov/sites/default/files/images/olls/crs2024-title-10.pdf</t>
        </is>
      </c>
      <c r="F36" s="348" t="inlineStr">
        <is>
          <t>2026-06-07</t>
        </is>
      </c>
      <c r="G36" s="348" t="inlineStr">
        <is>
          <t>2027-06-07</t>
        </is>
      </c>
      <c r="H36" s="348" t="inlineStr">
        <is>
          <t>Pass</t>
        </is>
      </c>
      <c r="I36" s="348" t="inlineStr">
        <is>
          <t>Colorado requires UM/UIM coverage in limits equal to bodily injury liability limits unless the named insured rejects coverage or selects lower limits as permitted by statute.</t>
        </is>
      </c>
    </row>
    <row r="37">
      <c r="A37" s="348" t="inlineStr">
        <is>
          <t>Connecticut</t>
        </is>
      </c>
      <c r="B37" s="348" t="inlineStr">
        <is>
          <t>Bad Faith</t>
        </is>
      </c>
      <c r="C37" s="348" t="inlineStr">
        <is>
          <t>Court Rule / Case Authority</t>
        </is>
      </c>
      <c r="D37" s="348" t="inlineStr">
        <is>
          <t>Buckman v. People Express; Conn. Gen. Stat. § 38a-816; CUTPA/CUIPA cases</t>
        </is>
      </c>
      <c r="E37" s="348" t="inlineStr">
        <is>
          <t>https://www.cga.ct.gov/2004/rpt/2004-R-0280.htm</t>
        </is>
      </c>
      <c r="F37" s="348" t="inlineStr">
        <is>
          <t>2026-06-07</t>
        </is>
      </c>
      <c r="G37" s="348" t="inlineStr">
        <is>
          <t>2027-06-07</t>
        </is>
      </c>
      <c r="H37" s="348" t="inlineStr">
        <is>
          <t>Pass</t>
        </is>
      </c>
      <c r="I37" s="348" t="inlineStr">
        <is>
          <t>Connecticut recognizes bad-faith theories under the implied covenant; statutory unfair-practice claims are limited and usually require more than a single act.</t>
        </is>
      </c>
    </row>
    <row r="38">
      <c r="A38" s="348" t="inlineStr">
        <is>
          <t>Connecticut</t>
        </is>
      </c>
      <c r="B38" s="348" t="inlineStr">
        <is>
          <t>Claims Deadlines</t>
        </is>
      </c>
      <c r="C38" s="348" t="inlineStr">
        <is>
          <t>Statute</t>
        </is>
      </c>
      <c r="D38" s="348" t="inlineStr">
        <is>
          <t>Conn. Gen. Stat. § 38a-816; § 38a-452</t>
        </is>
      </c>
      <c r="E38" s="348" t="inlineStr">
        <is>
          <t>https://www.cga.ct.gov/current/pub/chap_704.htm</t>
        </is>
      </c>
      <c r="F38" s="348" t="inlineStr">
        <is>
          <t>2026-06-07</t>
        </is>
      </c>
      <c r="G38" s="348" t="inlineStr">
        <is>
          <t>2027-06-07</t>
        </is>
      </c>
      <c r="H38" s="348" t="inlineStr">
        <is>
          <t>Pass</t>
        </is>
      </c>
      <c r="I38" s="348" t="inlineStr">
        <is>
          <t>General unfair-claims statute uses prompt/reasonable promptness language rather than fixed P&amp;C day counts.</t>
        </is>
      </c>
    </row>
    <row r="39">
      <c r="A39" s="348" t="inlineStr">
        <is>
          <t>Connecticut</t>
        </is>
      </c>
      <c r="B39" s="348" t="inlineStr">
        <is>
          <t>Comparative Negligence</t>
        </is>
      </c>
      <c r="C39" s="348" t="inlineStr">
        <is>
          <t>Statute</t>
        </is>
      </c>
      <c r="D39" s="348" t="inlineStr">
        <is>
          <t>Conn. Gen. Stat. § 52-572h</t>
        </is>
      </c>
      <c r="E39" s="348" t="inlineStr">
        <is>
          <t>https://www.cga.ct.gov/current/pub/chap_925.htm#sec_52-572h</t>
        </is>
      </c>
      <c r="F39" s="348" t="inlineStr">
        <is>
          <t>2026-06-07</t>
        </is>
      </c>
      <c r="G39" s="348" t="inlineStr">
        <is>
          <t>2027-06-07</t>
        </is>
      </c>
      <c r="H39" s="348" t="inlineStr">
        <is>
          <t>Pass</t>
        </is>
      </c>
      <c r="I39" s="348" t="inlineStr">
        <is>
          <t>Claimant may recover if claimant negligence is not greater than the combined negligence of the parties against whom recovery is sought.</t>
        </is>
      </c>
    </row>
    <row r="40">
      <c r="A40" s="348" t="inlineStr">
        <is>
          <t>Connecticut</t>
        </is>
      </c>
      <c r="B40" s="348" t="inlineStr">
        <is>
          <t>PIP / No-Fault</t>
        </is>
      </c>
      <c r="C40" s="348" t="inlineStr">
        <is>
          <t>Authority / Verify Type</t>
        </is>
      </c>
      <c r="D40" s="348" t="inlineStr">
        <is>
          <t>Conn. OLR Report 2016-R-0255</t>
        </is>
      </c>
      <c r="E40" s="348" t="inlineStr">
        <is>
          <t>https://www.cga.ct.gov/2016/rpt/2016-R-0255.htm</t>
        </is>
      </c>
      <c r="F40" s="348" t="inlineStr">
        <is>
          <t>2026-06-07</t>
        </is>
      </c>
      <c r="G40" s="348" t="inlineStr">
        <is>
          <t>2027-06-07</t>
        </is>
      </c>
      <c r="H40" s="348" t="inlineStr">
        <is>
          <t>Pass</t>
        </is>
      </c>
      <c r="I40" s="348" t="inlineStr">
        <is>
          <t>Connecticut is no longer a no-fault state; PIP is not required.</t>
        </is>
      </c>
    </row>
    <row r="41">
      <c r="A41" s="348" t="inlineStr">
        <is>
          <t>Connecticut</t>
        </is>
      </c>
      <c r="B41" s="348" t="inlineStr">
        <is>
          <t>Policy Disclosure</t>
        </is>
      </c>
      <c r="C41" s="348" t="inlineStr">
        <is>
          <t>Statute</t>
        </is>
      </c>
      <c r="D41" s="348" t="inlineStr">
        <is>
          <t>Conn. Gen. Stat. §§ 38a-335a; 52-200a</t>
        </is>
      </c>
      <c r="E41" s="348" t="inlineStr">
        <is>
          <t>https://www.cga.ct.gov/current/pub/chap_700.htm#sec_38a-335a</t>
        </is>
      </c>
      <c r="F41" s="348" t="inlineStr">
        <is>
          <t>2026-06-07</t>
        </is>
      </c>
      <c r="G41" s="348" t="inlineStr">
        <is>
          <t>2027-06-07</t>
        </is>
      </c>
      <c r="H41" s="348" t="inlineStr">
        <is>
          <t>Pass</t>
        </is>
      </c>
      <c r="I41" s="348" t="inlineStr">
        <is>
          <t>Pre-suit disclosure appears limited to bodily injury/death claims from motor vehicle collisions; broader negligence insurance information is discoverable in litigation by written motion.</t>
        </is>
      </c>
    </row>
    <row r="42">
      <c r="A42" s="348" t="inlineStr">
        <is>
          <t>Connecticut</t>
        </is>
      </c>
      <c r="B42" s="348" t="inlineStr">
        <is>
          <t>UM/UIM Rules</t>
        </is>
      </c>
      <c r="C42" s="348" t="inlineStr">
        <is>
          <t>Statute</t>
        </is>
      </c>
      <c r="D42" s="348" t="inlineStr">
        <is>
          <t>Conn. Gen. Stat. § 38a-336</t>
        </is>
      </c>
      <c r="E42" s="348" t="inlineStr">
        <is>
          <t>https://www.cga.ct.gov/current/pub/chap_700.htm#sec_38a-336</t>
        </is>
      </c>
      <c r="F42" s="348" t="inlineStr">
        <is>
          <t>2026-06-07</t>
        </is>
      </c>
      <c r="G42" s="348" t="inlineStr">
        <is>
          <t>2027-06-07</t>
        </is>
      </c>
      <c r="H42" s="348" t="inlineStr">
        <is>
          <t>Pass</t>
        </is>
      </c>
      <c r="I42" s="348" t="inlineStr">
        <is>
          <t>Connecticut requires UM/UIM coverage. The insured may elect reduced limits under statutory procedures, but the coverage is not treated as a simple full rejection item.</t>
        </is>
      </c>
    </row>
    <row r="43">
      <c r="A43" s="348" t="inlineStr">
        <is>
          <t>Delaware</t>
        </is>
      </c>
      <c r="B43" s="348" t="inlineStr">
        <is>
          <t>Bad Faith</t>
        </is>
      </c>
      <c r="C43" s="348" t="inlineStr">
        <is>
          <t>Court Rule / Case Authority</t>
        </is>
      </c>
      <c r="D43" s="348" t="inlineStr">
        <is>
          <t>Tackett v. State Farm; Connelly v. State Farm; 18 Del. C. § 2304</t>
        </is>
      </c>
      <c r="E43" s="348" t="inlineStr">
        <is>
          <t>https://law.justia.com/cases/delaware/supreme-court/1995/653-a-2d-254-1.html</t>
        </is>
      </c>
      <c r="F43" s="348" t="inlineStr">
        <is>
          <t>2026-06-07</t>
        </is>
      </c>
      <c r="G43" s="348" t="inlineStr">
        <is>
          <t>2027-06-07</t>
        </is>
      </c>
      <c r="H43" s="348" t="inlineStr">
        <is>
          <t>Pass</t>
        </is>
      </c>
      <c r="I43" s="348" t="inlineStr">
        <is>
          <t>Delaware recognizes first-party bad faith as contract-based; third-party failure-to-settle remedies are limited.</t>
        </is>
      </c>
    </row>
    <row r="44">
      <c r="A44" s="348" t="inlineStr">
        <is>
          <t>Delaware</t>
        </is>
      </c>
      <c r="B44" s="348" t="inlineStr">
        <is>
          <t>Claims Deadlines</t>
        </is>
      </c>
      <c r="C44" s="348" t="inlineStr">
        <is>
          <t>Administrative Code / Regulation</t>
        </is>
      </c>
      <c r="D44" s="348" t="inlineStr">
        <is>
          <t>18 Del. Admin. Code 902 and 903</t>
        </is>
      </c>
      <c r="E44" s="348" t="inlineStr">
        <is>
          <t>https://regulations.delaware.gov/AdminCode/title18/900/</t>
        </is>
      </c>
      <c r="F44" s="348" t="inlineStr">
        <is>
          <t>2026-06-07</t>
        </is>
      </c>
      <c r="G44" s="348" t="inlineStr">
        <is>
          <t>2027-06-07</t>
        </is>
      </c>
      <c r="H44" s="348" t="inlineStr">
        <is>
          <t>Pass</t>
        </is>
      </c>
      <c r="I44" s="348" t="inlineStr">
        <is>
          <t>Prompt payment is defined as within 30 days after agreement; investigation must begin within 10 working days.</t>
        </is>
      </c>
    </row>
    <row r="45">
      <c r="A45" s="348" t="inlineStr">
        <is>
          <t>Delaware</t>
        </is>
      </c>
      <c r="B45" s="348" t="inlineStr">
        <is>
          <t>Comparative Negligence</t>
        </is>
      </c>
      <c r="C45" s="348" t="inlineStr">
        <is>
          <t>Statute</t>
        </is>
      </c>
      <c r="D45" s="348" t="inlineStr">
        <is>
          <t>10 Del. C. § 8132</t>
        </is>
      </c>
      <c r="E45" s="348" t="inlineStr">
        <is>
          <t>https://delcode.delaware.gov/title10/c081/sc01/index.html#8132</t>
        </is>
      </c>
      <c r="F45" s="348" t="inlineStr">
        <is>
          <t>2026-06-07</t>
        </is>
      </c>
      <c r="G45" s="348" t="inlineStr">
        <is>
          <t>2027-06-07</t>
        </is>
      </c>
      <c r="H45" s="348" t="inlineStr">
        <is>
          <t>Pass</t>
        </is>
      </c>
      <c r="I45" s="348" t="inlineStr">
        <is>
          <t>Claimant may recover if claimant negligence is not greater than the negligence of the defendant or defendants.</t>
        </is>
      </c>
    </row>
    <row r="46">
      <c r="A46" s="348" t="inlineStr">
        <is>
          <t>Delaware</t>
        </is>
      </c>
      <c r="B46" s="348" t="inlineStr">
        <is>
          <t>PIP / No-Fault</t>
        </is>
      </c>
      <c r="C46" s="348" t="inlineStr">
        <is>
          <t>Statute</t>
        </is>
      </c>
      <c r="D46" s="348" t="inlineStr">
        <is>
          <t>21 Del. C. § 2118</t>
        </is>
      </c>
      <c r="E46" s="348" t="inlineStr">
        <is>
          <t>https://delcode.delaware.gov/title21/c021/sc01/index.html#2118</t>
        </is>
      </c>
      <c r="F46" s="348" t="inlineStr">
        <is>
          <t>2026-06-07</t>
        </is>
      </c>
      <c r="G46" s="348" t="inlineStr">
        <is>
          <t>2027-06-07</t>
        </is>
      </c>
      <c r="H46" s="348" t="inlineStr">
        <is>
          <t>Pass</t>
        </is>
      </c>
      <c r="I46" s="348" t="inlineStr">
        <is>
          <t>Delaware requires PIP benefits, but does not use a no-fault tort threshold limiting lawsuits.</t>
        </is>
      </c>
    </row>
    <row r="47">
      <c r="A47" s="348" t="inlineStr">
        <is>
          <t>Delaware</t>
        </is>
      </c>
      <c r="B47" s="348" t="inlineStr">
        <is>
          <t>Policy Disclosure</t>
        </is>
      </c>
      <c r="C47" s="348" t="inlineStr">
        <is>
          <t>Statute</t>
        </is>
      </c>
      <c r="D47" s="348" t="inlineStr">
        <is>
          <t>21 Del. C. § 2907(d)</t>
        </is>
      </c>
      <c r="E47" s="348" t="inlineStr">
        <is>
          <t>https://delcode.delaware.gov/title21/c029/sc01/index.html#2907</t>
        </is>
      </c>
      <c r="F47" s="348" t="inlineStr">
        <is>
          <t>2026-06-07</t>
        </is>
      </c>
      <c r="G47" s="348" t="inlineStr">
        <is>
          <t>2027-06-07</t>
        </is>
      </c>
      <c r="H47" s="348" t="inlineStr">
        <is>
          <t>Pass</t>
        </is>
      </c>
      <c r="I47" s="348" t="inlineStr">
        <is>
          <t>Disclosure applies when submitted medical bills and wage losses meet the statutory threshold; scope is bodily injury limits at the time of the accident.</t>
        </is>
      </c>
    </row>
    <row r="48">
      <c r="A48" s="348" t="inlineStr">
        <is>
          <t>Delaware</t>
        </is>
      </c>
      <c r="B48" s="348" t="inlineStr">
        <is>
          <t>UM/UIM Rules</t>
        </is>
      </c>
      <c r="C48" s="348" t="inlineStr">
        <is>
          <t>Statute</t>
        </is>
      </c>
      <c r="D48" s="348" t="inlineStr">
        <is>
          <t>18 Del. C. § 3902</t>
        </is>
      </c>
      <c r="E48" s="348" t="inlineStr">
        <is>
          <t>https://delcode.delaware.gov/title18/c039/</t>
        </is>
      </c>
      <c r="F48" s="348" t="inlineStr">
        <is>
          <t>2026-06-07</t>
        </is>
      </c>
      <c r="G48" s="348" t="inlineStr">
        <is>
          <t>2027-06-07</t>
        </is>
      </c>
      <c r="H48" s="348" t="inlineStr">
        <is>
          <t>Pass</t>
        </is>
      </c>
      <c r="I48" s="348" t="inlineStr">
        <is>
          <t>Delaware requires insurers to offer UM/UIM coverage, but the insured may reject or select coverage under statutory procedures. Available limits are based on statutory offer requirements and policy selection.</t>
        </is>
      </c>
    </row>
    <row r="49">
      <c r="A49" s="348" t="inlineStr">
        <is>
          <t>Florida</t>
        </is>
      </c>
      <c r="B49" s="348" t="inlineStr">
        <is>
          <t>Bad Faith</t>
        </is>
      </c>
      <c r="C49" s="348" t="inlineStr">
        <is>
          <t>Statute</t>
        </is>
      </c>
      <c r="D49" s="348" t="inlineStr">
        <is>
          <t>Fla. Stat. § 624.155</t>
        </is>
      </c>
      <c r="E49" s="348" t="inlineStr">
        <is>
          <t>https://www.leg.state.fl.us/statutes/index.cfm?App_mode=Display_Statute&amp;URL=0600-0699/0624/Sections/0624.155.html</t>
        </is>
      </c>
      <c r="F49" s="348" t="inlineStr">
        <is>
          <t>2026-06-07</t>
        </is>
      </c>
      <c r="G49" s="348" t="inlineStr">
        <is>
          <t>2027-06-07</t>
        </is>
      </c>
      <c r="H49" s="348" t="inlineStr">
        <is>
          <t>Pass</t>
        </is>
      </c>
      <c r="I49" s="348" t="inlineStr">
        <is>
          <t>Florida provides statutory civil remedies for insurer bad faith after civil-remedy notice requirements are met.</t>
        </is>
      </c>
    </row>
    <row r="50">
      <c r="A50" s="348" t="inlineStr">
        <is>
          <t>Florida</t>
        </is>
      </c>
      <c r="B50" s="348" t="inlineStr">
        <is>
          <t>Claims Deadlines</t>
        </is>
      </c>
      <c r="C50" s="348" t="inlineStr">
        <is>
          <t>Statute</t>
        </is>
      </c>
      <c r="D50" s="348" t="inlineStr">
        <is>
          <t>Fla. Stat. §§ 626.9541, 627.4265, 627.70131</t>
        </is>
      </c>
      <c r="E50" s="348" t="inlineStr">
        <is>
          <t>https://www.leg.state.fl.us/statutes/</t>
        </is>
      </c>
      <c r="F50" s="348" t="inlineStr">
        <is>
          <t>2026-06-07</t>
        </is>
      </c>
      <c r="G50" s="348" t="inlineStr">
        <is>
          <t>2027-06-07</t>
        </is>
      </c>
      <c r="H50" s="348" t="inlineStr">
        <is>
          <t>Pass</t>
        </is>
      </c>
      <c r="I50" s="348" t="inlineStr">
        <is>
          <t>Property claims generally require acknowledgment and payment/denial within statutory timeframes; settlement payments due within 20 days.</t>
        </is>
      </c>
    </row>
    <row r="51">
      <c r="A51" s="348" t="inlineStr">
        <is>
          <t>Florida</t>
        </is>
      </c>
      <c r="B51" s="348" t="inlineStr">
        <is>
          <t>Comparative Negligence</t>
        </is>
      </c>
      <c r="C51" s="348" t="inlineStr">
        <is>
          <t>Statute</t>
        </is>
      </c>
      <c r="D51" s="348" t="inlineStr">
        <is>
          <t>Fla. Stat. § 768.81</t>
        </is>
      </c>
      <c r="E51" s="348" t="inlineStr">
        <is>
          <t>https://www.leg.state.fl.us/statutes/index.cfm?App_mode=Display_Statute&amp;URL=0700-0799/0768/Sections/0768.81.html</t>
        </is>
      </c>
      <c r="F51" s="348" t="inlineStr">
        <is>
          <t>2026-06-07</t>
        </is>
      </c>
      <c r="G51" s="348" t="inlineStr">
        <is>
          <t>2027-06-07</t>
        </is>
      </c>
      <c r="H51" s="348" t="inlineStr">
        <is>
          <t>Pass</t>
        </is>
      </c>
      <c r="I51" s="348" t="inlineStr">
        <is>
          <t>Claimant generally may not recover if found greater than 50% at fault, with statutory exceptions.</t>
        </is>
      </c>
    </row>
    <row r="52">
      <c r="A52" s="348" t="inlineStr">
        <is>
          <t>Florida</t>
        </is>
      </c>
      <c r="B52" s="348" t="inlineStr">
        <is>
          <t>PIP / No-Fault</t>
        </is>
      </c>
      <c r="C52" s="348" t="inlineStr">
        <is>
          <t>Statute</t>
        </is>
      </c>
      <c r="D52" s="348" t="inlineStr">
        <is>
          <t>Fla. Stat. §§ 627.736; 627.737</t>
        </is>
      </c>
      <c r="E52" s="348" t="inlineStr">
        <is>
          <t>https://www.leg.state.fl.us/statutes/index.cfm?App_mode=Display_Statute&amp;URL=0600-0699/0627/Sections/0627.736.html</t>
        </is>
      </c>
      <c r="F52" s="348" t="inlineStr">
        <is>
          <t>2026-06-07</t>
        </is>
      </c>
      <c r="G52" s="348" t="inlineStr">
        <is>
          <t>2027-06-07</t>
        </is>
      </c>
      <c r="H52" s="348" t="inlineStr">
        <is>
          <t>Pass</t>
        </is>
      </c>
      <c r="I52" s="348" t="inlineStr">
        <is>
          <t>Requires PIP benefits; tort recovery for pain and suffering generally requires meeting the statutory injury threshold.</t>
        </is>
      </c>
    </row>
    <row r="53">
      <c r="A53" s="348" t="inlineStr">
        <is>
          <t>Florida</t>
        </is>
      </c>
      <c r="B53" s="348" t="inlineStr">
        <is>
          <t>Policy Disclosure</t>
        </is>
      </c>
      <c r="C53" s="348" t="inlineStr">
        <is>
          <t>Statute</t>
        </is>
      </c>
      <c r="D53" s="348" t="inlineStr">
        <is>
          <t>Fla. Stat. § 627.4137</t>
        </is>
      </c>
      <c r="E53" s="348" t="inlineStr">
        <is>
          <t>https://www.leg.state.fl.us/Statutes/index.cfm?App_mode=Display_Statute&amp;URL=0600-0699/0627/Sections/0627.4137.html</t>
        </is>
      </c>
      <c r="F53" s="348" t="inlineStr">
        <is>
          <t>2026-06-07</t>
        </is>
      </c>
      <c r="G53" s="348" t="inlineStr">
        <is>
          <t>2027-06-07</t>
        </is>
      </c>
      <c r="H53" s="348" t="inlineStr">
        <is>
          <t>Pass</t>
        </is>
      </c>
      <c r="I53" s="348" t="inlineStr">
        <is>
          <t>Insurer must provide, within 60 days after written claimant request, sworn coverage information for known liability or casualty policies, including excess or umbrella insurance. The insured has a separate 30-day disclosure duty.</t>
        </is>
      </c>
    </row>
    <row r="54">
      <c r="A54" s="348" t="inlineStr">
        <is>
          <t>Florida</t>
        </is>
      </c>
      <c r="B54" s="348" t="inlineStr">
        <is>
          <t>UM/UIM Rules</t>
        </is>
      </c>
      <c r="C54" s="348" t="inlineStr">
        <is>
          <t>Statute</t>
        </is>
      </c>
      <c r="D54" s="348" t="inlineStr">
        <is>
          <t>Fla. Stat. § 627.727</t>
        </is>
      </c>
      <c r="E54" s="348" t="inlineStr">
        <is>
          <t>https://www.leg.state.fl.us/statutes/index.cfm?App_mode=Display_Statute&amp;URL=0600-0699/0627/Sections/0627.727.html</t>
        </is>
      </c>
      <c r="F54" s="348" t="inlineStr">
        <is>
          <t>2026-06-07</t>
        </is>
      </c>
      <c r="G54" s="348" t="inlineStr">
        <is>
          <t>2027-06-07</t>
        </is>
      </c>
      <c r="H54" s="348" t="inlineStr">
        <is>
          <t>Pass</t>
        </is>
      </c>
      <c r="I54" s="348" t="inlineStr">
        <is>
          <t>UM coverage must be provided with limits at least equal to BI liability limits unless the named insured rejects coverage, selects lower limits, or selects non-stacked coverage in writing.</t>
        </is>
      </c>
    </row>
    <row r="55">
      <c r="A55" s="348" t="inlineStr">
        <is>
          <t>Georgia</t>
        </is>
      </c>
      <c r="B55" s="348" t="inlineStr">
        <is>
          <t>Bad Faith</t>
        </is>
      </c>
      <c r="C55" s="348" t="inlineStr">
        <is>
          <t>Court Rule / Case Authority</t>
        </is>
      </c>
      <c r="D55" s="348" t="inlineStr">
        <is>
          <t>O.C.G.A. §§ 33-4-6, 33-4-7; Southern General Ins. Co. v. Holt</t>
        </is>
      </c>
      <c r="E55" s="348" t="inlineStr">
        <is>
          <t>https://law.justia.com/codes/georgia/title-33/chapter-4/section-33-4-7/</t>
        </is>
      </c>
      <c r="F55" s="348" t="inlineStr">
        <is>
          <t>2026-06-07</t>
        </is>
      </c>
      <c r="G55" s="348" t="inlineStr">
        <is>
          <t>2027-06-07</t>
        </is>
      </c>
      <c r="H55" s="348" t="inlineStr">
        <is>
          <t>Pass</t>
        </is>
      </c>
      <c r="I55" s="348" t="inlineStr">
        <is>
          <t>Georgia provides statutory bad-faith remedies for covered claims and motor-vehicle liability claims, with demand and timing requirements.</t>
        </is>
      </c>
    </row>
    <row r="56">
      <c r="A56" s="348" t="inlineStr">
        <is>
          <t>Georgia</t>
        </is>
      </c>
      <c r="B56" s="348" t="inlineStr">
        <is>
          <t>Claims Deadlines</t>
        </is>
      </c>
      <c r="C56" s="348" t="inlineStr">
        <is>
          <t>Administrative Code / Regulation</t>
        </is>
      </c>
      <c r="D56" s="348" t="inlineStr">
        <is>
          <t>Ga. Comp. R. &amp; Regs. 120-2-52-.01 to .03</t>
        </is>
      </c>
      <c r="E56" s="348" t="inlineStr">
        <is>
          <t>https://rules.sos.ga.gov/gac/120-2-52</t>
        </is>
      </c>
      <c r="F56" s="348" t="inlineStr">
        <is>
          <t>2026-06-07</t>
        </is>
      </c>
      <c r="G56" s="348" t="inlineStr">
        <is>
          <t>2027-06-07</t>
        </is>
      </c>
      <c r="H56" s="348" t="inlineStr">
        <is>
          <t>Pass</t>
        </is>
      </c>
      <c r="I56" s="348" t="inlineStr">
        <is>
          <t>Private passenger auto first-party property claims have specific acknowledgment, coverage, and payment timing rules.</t>
        </is>
      </c>
    </row>
    <row r="57">
      <c r="A57" s="348" t="inlineStr">
        <is>
          <t>Georgia</t>
        </is>
      </c>
      <c r="B57" s="348" t="inlineStr">
        <is>
          <t>Comparative Negligence</t>
        </is>
      </c>
      <c r="C57" s="348" t="inlineStr">
        <is>
          <t>Statute</t>
        </is>
      </c>
      <c r="D57" s="348" t="inlineStr">
        <is>
          <t>O.C.G.A. § 51-12-33</t>
        </is>
      </c>
      <c r="E57" s="348" t="inlineStr">
        <is>
          <t>https://law.justia.com/codes/georgia/title-51/chapter-12/article-2/section-51-12-33/</t>
        </is>
      </c>
      <c r="F57" s="348" t="inlineStr">
        <is>
          <t>2026-06-07</t>
        </is>
      </c>
      <c r="G57" s="348" t="inlineStr">
        <is>
          <t>2027-06-07</t>
        </is>
      </c>
      <c r="H57" s="348" t="inlineStr">
        <is>
          <t>Pass</t>
        </is>
      </c>
      <c r="I57" s="348" t="inlineStr">
        <is>
          <t>Claimant is barred if claimant is 50% or more responsible for the injury or damages.</t>
        </is>
      </c>
    </row>
    <row r="58">
      <c r="A58" s="348" t="inlineStr">
        <is>
          <t>Georgia</t>
        </is>
      </c>
      <c r="B58" s="348" t="inlineStr">
        <is>
          <t>PIP / No-Fault</t>
        </is>
      </c>
      <c r="C58" s="348" t="inlineStr">
        <is>
          <t>Statute</t>
        </is>
      </c>
      <c r="D58" s="348" t="inlineStr">
        <is>
          <t>O.C.G.A. § 33-34-4</t>
        </is>
      </c>
      <c r="E58" s="348" t="inlineStr">
        <is>
          <t>https://www.legis.ga.gov</t>
        </is>
      </c>
      <c r="F58" s="348" t="inlineStr">
        <is>
          <t>2026-06-07</t>
        </is>
      </c>
      <c r="G58" s="348" t="inlineStr">
        <is>
          <t>2027-06-07</t>
        </is>
      </c>
      <c r="H58" s="348" t="inlineStr">
        <is>
          <t>Pass</t>
        </is>
      </c>
      <c r="I58" s="348" t="inlineStr">
        <is>
          <t>Traditional tort state; no-fault requirements were repealed.</t>
        </is>
      </c>
    </row>
    <row r="59">
      <c r="A59" s="348" t="inlineStr">
        <is>
          <t>Georgia</t>
        </is>
      </c>
      <c r="B59" s="348" t="inlineStr">
        <is>
          <t>Policy Disclosure</t>
        </is>
      </c>
      <c r="C59" s="348" t="inlineStr">
        <is>
          <t>Statute</t>
        </is>
      </c>
      <c r="D59" s="348" t="inlineStr">
        <is>
          <t>O.C.G.A. § 33-3-28</t>
        </is>
      </c>
      <c r="E59" s="348" t="inlineStr">
        <is>
          <t>https://law.justia.com/codes/georgia/title-33/chapter-3/section-33-3-28/</t>
        </is>
      </c>
      <c r="F59" s="348" t="inlineStr">
        <is>
          <t>2026-06-07</t>
        </is>
      </c>
      <c r="G59" s="348" t="inlineStr">
        <is>
          <t>2027-06-07</t>
        </is>
      </c>
      <c r="H59" s="348" t="inlineStr">
        <is>
          <t>Pass</t>
        </is>
      </c>
      <c r="I59" s="348" t="inlineStr">
        <is>
          <t>Requires the insured or insurer to disclose listed coverage information after a written request; official Georgia Code access may require a licensed code platform.</t>
        </is>
      </c>
    </row>
    <row r="60">
      <c r="A60" s="348" t="inlineStr">
        <is>
          <t>Georgia</t>
        </is>
      </c>
      <c r="B60" s="348" t="inlineStr">
        <is>
          <t>UM/UIM Rules</t>
        </is>
      </c>
      <c r="C60" s="348" t="inlineStr">
        <is>
          <t>Statute</t>
        </is>
      </c>
      <c r="D60" s="348" t="inlineStr">
        <is>
          <t>O.C.G.A. § 33-7-11</t>
        </is>
      </c>
      <c r="E60" s="348" t="inlineStr">
        <is>
          <t>https://law.justia.com/codes/georgia/title-33/chapter-7/section-33-7-11/</t>
        </is>
      </c>
      <c r="F60" s="348" t="inlineStr">
        <is>
          <t>2026-06-07</t>
        </is>
      </c>
      <c r="G60" s="348" t="inlineStr">
        <is>
          <t>2027-06-07</t>
        </is>
      </c>
      <c r="H60" s="348" t="inlineStr">
        <is>
          <t>Pass</t>
        </is>
      </c>
      <c r="I60" s="348" t="inlineStr">
        <is>
          <t>Georgia UM coverage applies unless rejected in writing; coverage may operate as add-on or reduced-by coverage depending on the insured's selection.</t>
        </is>
      </c>
    </row>
    <row r="61">
      <c r="A61" s="348" t="inlineStr">
        <is>
          <t>Hawaii</t>
        </is>
      </c>
      <c r="B61" s="348" t="inlineStr">
        <is>
          <t>Bad Faith</t>
        </is>
      </c>
      <c r="C61" s="348" t="inlineStr">
        <is>
          <t>Court Rule / Case Authority</t>
        </is>
      </c>
      <c r="D61" s="348" t="inlineStr">
        <is>
          <t>Best Place, Inc. v. Penn America Insurance Co.</t>
        </is>
      </c>
      <c r="E61" s="348" t="inlineStr">
        <is>
          <t>https://oaoa.hawaii.gov/jud/ica19968.htm</t>
        </is>
      </c>
      <c r="F61" s="348" t="inlineStr">
        <is>
          <t>2026-06-07</t>
        </is>
      </c>
      <c r="G61" s="348" t="inlineStr">
        <is>
          <t>2027-06-07</t>
        </is>
      </c>
      <c r="H61" s="348" t="inlineStr">
        <is>
          <t>Pass</t>
        </is>
      </c>
      <c r="I61" s="348" t="inlineStr">
        <is>
          <t>Hawaii recognizes insurer bad faith as an independent tort arising from the insurance relationship.</t>
        </is>
      </c>
    </row>
    <row r="62">
      <c r="A62" s="348" t="inlineStr">
        <is>
          <t>Hawaii</t>
        </is>
      </c>
      <c r="B62" s="348" t="inlineStr">
        <is>
          <t>Claims Deadlines</t>
        </is>
      </c>
      <c r="C62" s="348" t="inlineStr">
        <is>
          <t>Court Rule / Case Authority</t>
        </is>
      </c>
      <c r="D62" s="348" t="inlineStr">
        <is>
          <t>Haw. Rev. Stat. § 431:13-103</t>
        </is>
      </c>
      <c r="E62" s="348" t="inlineStr">
        <is>
          <t>https://www.capitol.hawaii.gov/hrscurrent/Vol09_Ch0431-0435H/HRS0431/HRS_0431-0013-0103.htm</t>
        </is>
      </c>
      <c r="F62" s="348" t="inlineStr">
        <is>
          <t>2026-06-07</t>
        </is>
      </c>
      <c r="G62" s="348" t="inlineStr">
        <is>
          <t>2027-06-07</t>
        </is>
      </c>
      <c r="H62" s="348" t="inlineStr">
        <is>
          <t>Pass</t>
        </is>
      </c>
      <c r="I62" s="348" t="inlineStr">
        <is>
          <t>Claims communications must be handled with reasonable promptness, generally no more than 15 working days.</t>
        </is>
      </c>
    </row>
    <row r="63">
      <c r="A63" s="348" t="inlineStr">
        <is>
          <t>Hawaii</t>
        </is>
      </c>
      <c r="B63" s="348" t="inlineStr">
        <is>
          <t>Comparative Negligence</t>
        </is>
      </c>
      <c r="C63" s="348" t="inlineStr">
        <is>
          <t>Court Rule / Case Authority</t>
        </is>
      </c>
      <c r="D63" s="348" t="inlineStr">
        <is>
          <t>Haw. Rev. Stat. § 663-31</t>
        </is>
      </c>
      <c r="E63" s="348" t="inlineStr">
        <is>
          <t>https://www.capitol.hawaii.gov/hrscurrent/Vol13_Ch0601-0676/HRS0663/HRS_0663-0031.htm</t>
        </is>
      </c>
      <c r="F63" s="348" t="inlineStr">
        <is>
          <t>2026-06-07</t>
        </is>
      </c>
      <c r="G63" s="348" t="inlineStr">
        <is>
          <t>2027-06-07</t>
        </is>
      </c>
      <c r="H63" s="348" t="inlineStr">
        <is>
          <t>Pass</t>
        </is>
      </c>
      <c r="I63" s="348" t="inlineStr">
        <is>
          <t>Claimant may recover when claimant negligence is not greater than the aggregate negligence of the defendant or defendants.</t>
        </is>
      </c>
    </row>
    <row r="64">
      <c r="A64" s="348" t="inlineStr">
        <is>
          <t>Hawaii</t>
        </is>
      </c>
      <c r="B64" s="348" t="inlineStr">
        <is>
          <t>PIP / No-Fault</t>
        </is>
      </c>
      <c r="C64" s="348" t="inlineStr">
        <is>
          <t>Court Rule / Case Authority</t>
        </is>
      </c>
      <c r="D64" s="348" t="inlineStr">
        <is>
          <t>Haw. Rev. Stat. §§ 431:10C-103.5; 431:10C-306</t>
        </is>
      </c>
      <c r="E64" s="348" t="inlineStr">
        <is>
          <t>https://law.justia.com/codes/hawaii/title-24/chapter-431/section-431-10c-103-5/</t>
        </is>
      </c>
      <c r="F64" s="348" t="inlineStr">
        <is>
          <t>2026-06-07</t>
        </is>
      </c>
      <c r="G64" s="348" t="inlineStr">
        <is>
          <t>2027-06-07</t>
        </is>
      </c>
      <c r="H64" s="348" t="inlineStr">
        <is>
          <t>Pass</t>
        </is>
      </c>
      <c r="I64" s="348" t="inlineStr">
        <is>
          <t>Hawaii requires PIP benefits and limits tort claims except under statutory exceptions.</t>
        </is>
      </c>
    </row>
    <row r="65">
      <c r="A65" s="348" t="inlineStr">
        <is>
          <t>Hawaii</t>
        </is>
      </c>
      <c r="B65" s="348" t="inlineStr">
        <is>
          <t>Policy Disclosure</t>
        </is>
      </c>
      <c r="C65" s="348" t="inlineStr">
        <is>
          <t>Court Rule / Case Authority</t>
        </is>
      </c>
      <c r="D65" s="348" t="inlineStr">
        <is>
          <t>Haw. R. Civ. P. 26(b)(3)</t>
        </is>
      </c>
      <c r="E65" s="348" t="inlineStr">
        <is>
          <t>https://www.courts.state.hi.us/wp-content/uploads/2024/09/hrcp_ada.pdf</t>
        </is>
      </c>
      <c r="F65" s="348" t="inlineStr">
        <is>
          <t>2026-06-07</t>
        </is>
      </c>
      <c r="G65" s="348" t="inlineStr">
        <is>
          <t>2027-06-07</t>
        </is>
      </c>
      <c r="H65" s="348" t="inlineStr">
        <is>
          <t>Pass</t>
        </is>
      </c>
      <c r="I65" s="348" t="inlineStr">
        <is>
          <t>No identified statutory requirement for pre-suit disclosure of liability policy limits to third-party claimants. Insurance agreements are discoverable during litigation.</t>
        </is>
      </c>
    </row>
    <row r="66">
      <c r="A66" s="348" t="inlineStr">
        <is>
          <t>Hawaii</t>
        </is>
      </c>
      <c r="B66" s="348" t="inlineStr">
        <is>
          <t>UM/UIM Rules</t>
        </is>
      </c>
      <c r="C66" s="348" t="inlineStr">
        <is>
          <t>Court Rule / Case Authority</t>
        </is>
      </c>
      <c r="D66" s="348" t="inlineStr">
        <is>
          <t>Haw. Rev. Stat. § 431:10C-301</t>
        </is>
      </c>
      <c r="E66" s="348" t="inlineStr">
        <is>
          <t>https://www.capitol.hawaii.gov/hrscurrent/Vol09_Ch0431-0435H/HRS0431/HRS_0431-0010C-0301.htm</t>
        </is>
      </c>
      <c r="F66" s="348" t="inlineStr">
        <is>
          <t>2026-06-07</t>
        </is>
      </c>
      <c r="G66" s="348" t="inlineStr">
        <is>
          <t>2027-06-07</t>
        </is>
      </c>
      <c r="H66" s="348" t="inlineStr">
        <is>
          <t>Pass</t>
        </is>
      </c>
      <c r="I66" s="348" t="inlineStr">
        <is>
          <t>Hawaii requires insurers to offer UM and UIM coverage and stacking options, but coverage is not mandatory if rejected or not selected under statutory procedures.</t>
        </is>
      </c>
    </row>
    <row r="67">
      <c r="A67" s="348" t="inlineStr">
        <is>
          <t>Idaho</t>
        </is>
      </c>
      <c r="B67" s="348" t="inlineStr">
        <is>
          <t>Claims Deadlines</t>
        </is>
      </c>
      <c r="C67" s="348" t="inlineStr">
        <is>
          <t>Court Rule / Case Authority</t>
        </is>
      </c>
      <c r="D67" s="348" t="inlineStr">
        <is>
          <t>Idaho Code § 41-1329(2)-(6), (14)</t>
        </is>
      </c>
      <c r="E67" s="348" t="inlineStr">
        <is>
          <t>https://legislature.idaho.gov/statutesrules/idstat/Title41/T41CH13/SECT41-1329/</t>
        </is>
      </c>
      <c r="F67" s="348" t="inlineStr">
        <is>
          <t>2026-06-07</t>
        </is>
      </c>
      <c r="G67" s="348" t="inlineStr">
        <is>
          <t>2027-06-07</t>
        </is>
      </c>
      <c r="H67" s="348" t="inlineStr">
        <is>
          <t>Pass</t>
        </is>
      </c>
      <c r="I67" s="348" t="inlineStr">
        <is>
          <t>Idaho general unfair-claims law uses reasonably prompt/prompt/reasonable-time standards; fixed day counts are line-specific and not used as general auto deadlines.</t>
        </is>
      </c>
    </row>
    <row r="68">
      <c r="A68" s="348" t="inlineStr">
        <is>
          <t>Idaho</t>
        </is>
      </c>
      <c r="B68" s="348" t="inlineStr">
        <is>
          <t>Comparative Negligence</t>
        </is>
      </c>
      <c r="C68" s="348" t="inlineStr">
        <is>
          <t>Court Rule / Case Authority</t>
        </is>
      </c>
      <c r="D68" s="348" t="inlineStr">
        <is>
          <t>Idaho Code § 6-801</t>
        </is>
      </c>
      <c r="E68" s="348" t="inlineStr">
        <is>
          <t>https://legislature.idaho.gov/statutesrules/idstat/title6/t6ch8/sect6-801/</t>
        </is>
      </c>
      <c r="F68" s="348" t="inlineStr">
        <is>
          <t>2026-06-07</t>
        </is>
      </c>
      <c r="G68" s="348" t="inlineStr">
        <is>
          <t>2027-06-07</t>
        </is>
      </c>
      <c r="H68" s="348" t="inlineStr">
        <is>
          <t>Pass</t>
        </is>
      </c>
      <c r="I68" s="348" t="inlineStr">
        <is>
          <t>Claimant may recover only if claimant negligence is less than the negligence of the person or persons against whom recovery is sought.</t>
        </is>
      </c>
    </row>
    <row r="69">
      <c r="A69" s="348" t="inlineStr">
        <is>
          <t>Idaho</t>
        </is>
      </c>
      <c r="B69" s="348" t="inlineStr">
        <is>
          <t>PIP / No-Fault</t>
        </is>
      </c>
      <c r="C69" s="348" t="inlineStr">
        <is>
          <t>Statute</t>
        </is>
      </c>
      <c r="D69" s="348" t="inlineStr">
        <is>
          <t>Idaho Code § 49-117; Idaho DOI Required Auto Coverage</t>
        </is>
      </c>
      <c r="E69" s="348" t="inlineStr">
        <is>
          <t>https://doi.idaho.gov/consumers/auto-insurance/required-auto-coverage/</t>
        </is>
      </c>
      <c r="F69" s="348" t="inlineStr">
        <is>
          <t>2026-06-07</t>
        </is>
      </c>
      <c r="G69" s="348" t="inlineStr">
        <is>
          <t>2027-06-07</t>
        </is>
      </c>
      <c r="H69" s="348" t="inlineStr">
        <is>
          <t>Pass</t>
        </is>
      </c>
      <c r="I69" s="348" t="inlineStr">
        <is>
          <t>Traditional tort state; PIP is not required.</t>
        </is>
      </c>
    </row>
    <row r="70">
      <c r="A70" s="348" t="inlineStr">
        <is>
          <t>Idaho</t>
        </is>
      </c>
      <c r="B70" s="348" t="inlineStr">
        <is>
          <t>Policy Disclosure</t>
        </is>
      </c>
      <c r="C70" s="348" t="inlineStr">
        <is>
          <t>Court Rule / Case Authority</t>
        </is>
      </c>
      <c r="D70" s="348" t="inlineStr">
        <is>
          <t>Idaho R. Civ. P. 26(b)(2)</t>
        </is>
      </c>
      <c r="E70" s="348" t="inlineStr">
        <is>
          <t>https://isc.idaho.gov/rules-procedure/ircp</t>
        </is>
      </c>
      <c r="F70" s="348" t="inlineStr">
        <is>
          <t>2026-06-07</t>
        </is>
      </c>
      <c r="G70" s="348" t="inlineStr">
        <is>
          <t>2027-06-07</t>
        </is>
      </c>
      <c r="H70" s="348" t="inlineStr">
        <is>
          <t>Pass</t>
        </is>
      </c>
      <c r="I70" s="348" t="inlineStr">
        <is>
          <t>No Idaho pre-suit third-party policy-limits disclosure statute was confirmed. Insurance agreements are discoverable after litigation begins under Idaho Rule of Civil Procedure 26(b)(2).</t>
        </is>
      </c>
    </row>
    <row r="71">
      <c r="A71" s="348" t="inlineStr">
        <is>
          <t>Idaho</t>
        </is>
      </c>
      <c r="B71" s="348" t="inlineStr">
        <is>
          <t>UM/UIM Rules</t>
        </is>
      </c>
      <c r="C71" s="348" t="inlineStr">
        <is>
          <t>Court Rule / Case Authority</t>
        </is>
      </c>
      <c r="D71" s="348" t="inlineStr">
        <is>
          <t>Idaho Code § 41-2502</t>
        </is>
      </c>
      <c r="E71" s="348" t="inlineStr">
        <is>
          <t>https://legislature.idaho.gov/statutesrules/idstat/title41/t41ch25/sect41-2502/</t>
        </is>
      </c>
      <c r="F71" s="348" t="inlineStr">
        <is>
          <t>2026-06-07</t>
        </is>
      </c>
      <c r="G71" s="348" t="inlineStr">
        <is>
          <t>2027-06-07</t>
        </is>
      </c>
      <c r="H71" s="348" t="inlineStr">
        <is>
          <t>Pass</t>
        </is>
      </c>
      <c r="I71" s="348" t="inlineStr">
        <is>
          <t>Idaho requires UM/UIM coverage to be included unless the named insured rejects coverage in writing. Limits generally track liability limits unless changed under statute and policy terms.</t>
        </is>
      </c>
    </row>
    <row r="72">
      <c r="A72" s="348" t="inlineStr">
        <is>
          <t>Illinois</t>
        </is>
      </c>
      <c r="B72" s="348" t="inlineStr">
        <is>
          <t>Bad Faith</t>
        </is>
      </c>
      <c r="C72" s="348" t="inlineStr">
        <is>
          <t>Court Rule / Case Authority</t>
        </is>
      </c>
      <c r="D72" s="348" t="inlineStr">
        <is>
          <t>215 ILCS 5/155; Cramer v. Insurance Exchange Agency</t>
        </is>
      </c>
      <c r="E72" s="348" t="inlineStr">
        <is>
          <t>https://www.ilga.gov/Documents/legislation/ilcs/documents/021500050K155.htm</t>
        </is>
      </c>
      <c r="F72" s="348" t="inlineStr">
        <is>
          <t>2026-06-07</t>
        </is>
      </c>
      <c r="G72" s="348" t="inlineStr">
        <is>
          <t>2027-06-07</t>
        </is>
      </c>
      <c r="H72" s="348" t="inlineStr">
        <is>
          <t>Pass</t>
        </is>
      </c>
      <c r="I72" s="348" t="inlineStr">
        <is>
          <t>Illinois provides a statutory vexatious-delay remedy but generally does not recognize an independent bad-faith tort.</t>
        </is>
      </c>
    </row>
    <row r="73">
      <c r="A73" s="348" t="inlineStr">
        <is>
          <t>Illinois</t>
        </is>
      </c>
      <c r="B73" s="348" t="inlineStr">
        <is>
          <t>Claims Deadlines</t>
        </is>
      </c>
      <c r="C73" s="348" t="inlineStr">
        <is>
          <t>Administrative Code / Regulation</t>
        </is>
      </c>
      <c r="D73" s="348" t="inlineStr">
        <is>
          <t>50 Ill. Adm. Code 919.50, 919.70, 919.80</t>
        </is>
      </c>
      <c r="E73" s="348" t="inlineStr">
        <is>
          <t>https://www.ilga.gov/commission/jcar/admincode/050/05000919sections.html</t>
        </is>
      </c>
      <c r="F73" s="348" t="inlineStr">
        <is>
          <t>2026-06-07</t>
        </is>
      </c>
      <c r="G73" s="348" t="inlineStr">
        <is>
          <t>2027-06-07</t>
        </is>
      </c>
      <c r="H73" s="348" t="inlineStr">
        <is>
          <t>Pass</t>
        </is>
      </c>
      <c r="I73" s="348" t="inlineStr">
        <is>
          <t>Insurer must pay within 30 days after affirming liability; delayed claims require written explanations.</t>
        </is>
      </c>
    </row>
    <row r="74">
      <c r="A74" s="348" t="inlineStr">
        <is>
          <t>Illinois</t>
        </is>
      </c>
      <c r="B74" s="348" t="inlineStr">
        <is>
          <t>Comparative Negligence</t>
        </is>
      </c>
      <c r="C74" s="348" t="inlineStr">
        <is>
          <t>Authority / Verify Type</t>
        </is>
      </c>
      <c r="D74" s="348" t="inlineStr">
        <is>
          <t>735 ILCS 5/2-1116</t>
        </is>
      </c>
      <c r="E74" s="348" t="inlineStr">
        <is>
          <t>https://www.ilga.gov/legislation/ilcs/documents/073500050K2-1116.htm</t>
        </is>
      </c>
      <c r="F74" s="348" t="inlineStr">
        <is>
          <t>2026-06-07</t>
        </is>
      </c>
      <c r="G74" s="348" t="inlineStr">
        <is>
          <t>2027-06-07</t>
        </is>
      </c>
      <c r="H74" s="348" t="inlineStr">
        <is>
          <t>Pass</t>
        </is>
      </c>
      <c r="I74" s="348" t="inlineStr">
        <is>
          <t>Claimant is barred only if claimant contributory fault is more than 50% of the proximate cause of the injury.</t>
        </is>
      </c>
    </row>
    <row r="75">
      <c r="A75" s="348" t="inlineStr">
        <is>
          <t>Illinois</t>
        </is>
      </c>
      <c r="B75" s="348" t="inlineStr">
        <is>
          <t>PIP / No-Fault</t>
        </is>
      </c>
      <c r="C75" s="348" t="inlineStr">
        <is>
          <t>Authority / Verify Type</t>
        </is>
      </c>
      <c r="D75" s="348" t="inlineStr">
        <is>
          <t>625 ILCS 5/7-601</t>
        </is>
      </c>
      <c r="E75" s="348" t="inlineStr">
        <is>
          <t>https://www.ilga.gov/legislation/ilcs/ilcs3.asp?ActID=1815&amp;ChapterID=49</t>
        </is>
      </c>
      <c r="F75" s="348" t="inlineStr">
        <is>
          <t>2026-06-07</t>
        </is>
      </c>
      <c r="G75" s="348" t="inlineStr">
        <is>
          <t>2027-06-07</t>
        </is>
      </c>
      <c r="H75" s="348" t="inlineStr">
        <is>
          <t>Pass</t>
        </is>
      </c>
      <c r="I75" s="348" t="inlineStr">
        <is>
          <t>Traditional tort state; PIP is not required.</t>
        </is>
      </c>
    </row>
    <row r="76">
      <c r="A76" s="348" t="inlineStr">
        <is>
          <t>Illinois</t>
        </is>
      </c>
      <c r="B76" s="348" t="inlineStr">
        <is>
          <t>Policy Disclosure</t>
        </is>
      </c>
      <c r="C76" s="348" t="inlineStr">
        <is>
          <t>Authority / Verify Type</t>
        </is>
      </c>
      <c r="D76" s="348" t="inlineStr">
        <is>
          <t>215 ILCS 5/143.24b</t>
        </is>
      </c>
      <c r="E76" s="348" t="inlineStr">
        <is>
          <t>https://ilga.gov/documents/legislation/ilcs/documents/021500050K143.24b.htm</t>
        </is>
      </c>
      <c r="F76" s="348" t="inlineStr">
        <is>
          <t>2026-06-07</t>
        </is>
      </c>
      <c r="G76" s="348" t="inlineStr">
        <is>
          <t>2027-06-07</t>
        </is>
      </c>
      <c r="H76" s="348" t="inlineStr">
        <is>
          <t>Pass</t>
        </is>
      </c>
      <c r="I76" s="348" t="inlineStr">
        <is>
          <t>Insurer must disclose personal private passenger auto liability coverage limits after receiving the required certified written request and supporting injury information. Umbrella coverage is not included under this statute.</t>
        </is>
      </c>
    </row>
    <row r="77">
      <c r="A77" s="348" t="inlineStr">
        <is>
          <t>Illinois</t>
        </is>
      </c>
      <c r="B77" s="348" t="inlineStr">
        <is>
          <t>UM/UIM Rules</t>
        </is>
      </c>
      <c r="C77" s="348" t="inlineStr">
        <is>
          <t>Authority / Verify Type</t>
        </is>
      </c>
      <c r="D77" s="348" t="inlineStr">
        <is>
          <t>215 ILCS 5/143a; 215 ILCS 5/143a-2</t>
        </is>
      </c>
      <c r="E77" s="348" t="inlineStr">
        <is>
          <t>https://www.ilga.gov/legislation/ilcs/ilcs3.asp?ActID=1249&amp;ChapterID=22</t>
        </is>
      </c>
      <c r="F77" s="348" t="inlineStr">
        <is>
          <t>2026-06-07</t>
        </is>
      </c>
      <c r="G77" s="348" t="inlineStr">
        <is>
          <t>2027-06-07</t>
        </is>
      </c>
      <c r="H77" s="348" t="inlineStr">
        <is>
          <t>Pass</t>
        </is>
      </c>
      <c r="I77" s="348" t="inlineStr">
        <is>
          <t>Illinois requires UM bodily injury coverage at minimum limits and governs UIM coverage when UM limits exceed statutory minimums. Anti-stacking provisions are generally enforceable.</t>
        </is>
      </c>
    </row>
    <row r="78">
      <c r="A78" s="348" t="inlineStr">
        <is>
          <t>Indiana</t>
        </is>
      </c>
      <c r="B78" s="348" t="inlineStr">
        <is>
          <t>Bad Faith</t>
        </is>
      </c>
      <c r="C78" s="348" t="inlineStr">
        <is>
          <t>Court Rule / Case Authority</t>
        </is>
      </c>
      <c r="D78" s="348" t="inlineStr">
        <is>
          <t>Erie Insurance Co. v. Hickman</t>
        </is>
      </c>
      <c r="E78" s="348" t="inlineStr">
        <is>
          <t>https://law.justia.com/cases/indiana/supreme-court/1993/29s02-9310-cv-1180-4.html</t>
        </is>
      </c>
      <c r="F78" s="348" t="inlineStr">
        <is>
          <t>2026-06-07</t>
        </is>
      </c>
      <c r="G78" s="348" t="inlineStr">
        <is>
          <t>2027-06-07</t>
        </is>
      </c>
      <c r="H78" s="348" t="inlineStr">
        <is>
          <t>Pass</t>
        </is>
      </c>
      <c r="I78" s="348" t="inlineStr">
        <is>
          <t>Indiana recognizes an insurer duty of good faith; third-party settlement issues are generally tied to the insured relationship.</t>
        </is>
      </c>
    </row>
    <row r="79">
      <c r="A79" s="348" t="inlineStr">
        <is>
          <t>Indiana</t>
        </is>
      </c>
      <c r="B79" s="348" t="inlineStr">
        <is>
          <t>Claims Deadlines</t>
        </is>
      </c>
      <c r="C79" s="348" t="inlineStr">
        <is>
          <t>Statute</t>
        </is>
      </c>
      <c r="D79" s="348" t="inlineStr">
        <is>
          <t>Ind. Code § 27-4-1-4.5</t>
        </is>
      </c>
      <c r="E79" s="348" t="inlineStr">
        <is>
          <t>https://iga.in.gov/laws/2025/ic/titles/27#27-4-1-4.5</t>
        </is>
      </c>
      <c r="F79" s="348" t="inlineStr">
        <is>
          <t>2026-06-07</t>
        </is>
      </c>
      <c r="G79" s="348" t="inlineStr">
        <is>
          <t>2027-06-07</t>
        </is>
      </c>
      <c r="H79" s="348" t="inlineStr">
        <is>
          <t>Pass</t>
        </is>
      </c>
      <c r="I79" s="348" t="inlineStr">
        <is>
          <t>Indiana’s unfair-claim statute uses prompt-claim language rather than fixed general day counts.</t>
        </is>
      </c>
    </row>
    <row r="80">
      <c r="A80" s="348" t="inlineStr">
        <is>
          <t>Indiana</t>
        </is>
      </c>
      <c r="B80" s="348" t="inlineStr">
        <is>
          <t>Comparative Negligence</t>
        </is>
      </c>
      <c r="C80" s="348" t="inlineStr">
        <is>
          <t>Statute</t>
        </is>
      </c>
      <c r="D80" s="348" t="inlineStr">
        <is>
          <t>Ind. Code § 34-51-2-6</t>
        </is>
      </c>
      <c r="E80" s="348" t="inlineStr">
        <is>
          <t>https://iga.in.gov/laws/2024/ic/titles/34#34-51-2-6</t>
        </is>
      </c>
      <c r="F80" s="348" t="inlineStr">
        <is>
          <t>2026-06-07</t>
        </is>
      </c>
      <c r="G80" s="348" t="inlineStr">
        <is>
          <t>2027-06-07</t>
        </is>
      </c>
      <c r="H80" s="348" t="inlineStr">
        <is>
          <t>Pass</t>
        </is>
      </c>
      <c r="I80" s="348" t="inlineStr">
        <is>
          <t>Claimant is barred if claimant contributory fault is greater than the fault of all persons whose fault proximately contributed to the damages.</t>
        </is>
      </c>
    </row>
    <row r="81">
      <c r="A81" s="348" t="inlineStr">
        <is>
          <t>Indiana</t>
        </is>
      </c>
      <c r="B81" s="348" t="inlineStr">
        <is>
          <t>PIP / No-Fault</t>
        </is>
      </c>
      <c r="C81" s="348" t="inlineStr">
        <is>
          <t>Statute</t>
        </is>
      </c>
      <c r="D81" s="348" t="inlineStr">
        <is>
          <t>Ind. Code § 9-25-4-5</t>
        </is>
      </c>
      <c r="E81" s="348" t="inlineStr">
        <is>
          <t>https://iga.in.gov/laws/2025/ic/titles/9#9-25-4-5</t>
        </is>
      </c>
      <c r="F81" s="348" t="inlineStr">
        <is>
          <t>2026-06-07</t>
        </is>
      </c>
      <c r="G81" s="348" t="inlineStr">
        <is>
          <t>2027-06-07</t>
        </is>
      </c>
      <c r="H81" s="348" t="inlineStr">
        <is>
          <t>Pass</t>
        </is>
      </c>
      <c r="I81" s="348" t="inlineStr">
        <is>
          <t>Traditional tort state; PIP is not required.</t>
        </is>
      </c>
    </row>
    <row r="82">
      <c r="A82" s="348" t="inlineStr">
        <is>
          <t>Indiana</t>
        </is>
      </c>
      <c r="B82" s="348" t="inlineStr">
        <is>
          <t>Policy Disclosure</t>
        </is>
      </c>
      <c r="C82" s="348" t="inlineStr">
        <is>
          <t>Court Rule / Case Authority</t>
        </is>
      </c>
      <c r="D82" s="348" t="inlineStr">
        <is>
          <t>Ind. R. Trial P. 26(B)(2)</t>
        </is>
      </c>
      <c r="E82" s="348" t="inlineStr">
        <is>
          <t>https://rules.incourts.gov/Content/trial/rule26/current.htm</t>
        </is>
      </c>
      <c r="F82" s="348" t="inlineStr">
        <is>
          <t>2026-06-07</t>
        </is>
      </c>
      <c r="G82" s="348" t="inlineStr">
        <is>
          <t>2027-06-07</t>
        </is>
      </c>
      <c r="H82" s="348" t="inlineStr">
        <is>
          <t>Pass</t>
        </is>
      </c>
      <c r="I82" s="348" t="inlineStr">
        <is>
          <t>No Indiana pre-suit third-party policy-limits disclosure statute was confirmed. Insurance agreements are discoverable after litigation begins under Trial Rule 26(B)(2).</t>
        </is>
      </c>
    </row>
    <row r="83">
      <c r="A83" s="348" t="inlineStr">
        <is>
          <t>Indiana</t>
        </is>
      </c>
      <c r="B83" s="348" t="inlineStr">
        <is>
          <t>UM/UIM Rules</t>
        </is>
      </c>
      <c r="C83" s="348" t="inlineStr">
        <is>
          <t>Statute</t>
        </is>
      </c>
      <c r="D83" s="348" t="inlineStr">
        <is>
          <t>Ind. Code § 27-7-5-2</t>
        </is>
      </c>
      <c r="E83" s="348" t="inlineStr">
        <is>
          <t>https://iga.in.gov/laws/2025/ic/titles/27#27-7-5-2</t>
        </is>
      </c>
      <c r="F83" s="348" t="inlineStr">
        <is>
          <t>2026-06-07</t>
        </is>
      </c>
      <c r="G83" s="348" t="inlineStr">
        <is>
          <t>2027-06-07</t>
        </is>
      </c>
      <c r="H83" s="348" t="inlineStr">
        <is>
          <t>Pass</t>
        </is>
      </c>
      <c r="I83" s="348" t="inlineStr">
        <is>
          <t>Indiana requires UM/UIM coverage to be provided with automobile liability policies unless rejected in writing. Stacking and setoff treatment are controlled by statute and policy terms.</t>
        </is>
      </c>
    </row>
    <row r="84">
      <c r="A84" s="348" t="inlineStr">
        <is>
          <t>Iowa</t>
        </is>
      </c>
      <c r="B84" s="348" t="inlineStr">
        <is>
          <t>Bad Faith</t>
        </is>
      </c>
      <c r="C84" s="348" t="inlineStr">
        <is>
          <t>Court Rule / Case Authority</t>
        </is>
      </c>
      <c r="D84" s="348" t="inlineStr">
        <is>
          <t>Dolan v. Aid Insurance Co.</t>
        </is>
      </c>
      <c r="E84" s="348" t="inlineStr">
        <is>
          <t>https://law.justia.com/cases/iowa/supreme-court/1988/87-1380-0.html</t>
        </is>
      </c>
      <c r="F84" s="348" t="inlineStr">
        <is>
          <t>2026-06-07</t>
        </is>
      </c>
      <c r="G84" s="348" t="inlineStr">
        <is>
          <t>2027-06-07</t>
        </is>
      </c>
      <c r="H84" s="348" t="inlineStr">
        <is>
          <t>Pass</t>
        </is>
      </c>
      <c r="I84" s="348" t="inlineStr">
        <is>
          <t>Iowa recognizes first-party bad-faith claims; third-party bad-faith remedies are limited.</t>
        </is>
      </c>
    </row>
    <row r="85">
      <c r="A85" s="348" t="inlineStr">
        <is>
          <t>Iowa</t>
        </is>
      </c>
      <c r="B85" s="348" t="inlineStr">
        <is>
          <t>Claims Deadlines</t>
        </is>
      </c>
      <c r="C85" s="348" t="inlineStr">
        <is>
          <t>Administrative Code / Regulation</t>
        </is>
      </c>
      <c r="D85" s="348" t="inlineStr">
        <is>
          <t>Iowa Admin. Code r. 191-15.41 to 15.42</t>
        </is>
      </c>
      <c r="E85" s="348" t="inlineStr">
        <is>
          <t>https://www.legis.iowa.gov/law/administrativeRules/rules?agency=191</t>
        </is>
      </c>
      <c r="F85" s="348" t="inlineStr">
        <is>
          <t>2026-06-07</t>
        </is>
      </c>
      <c r="G85" s="348" t="inlineStr">
        <is>
          <t>2027-06-07</t>
        </is>
      </c>
      <c r="H85" s="348" t="inlineStr">
        <is>
          <t>Pass</t>
        </is>
      </c>
      <c r="I85" s="348" t="inlineStr">
        <is>
          <t>P&amp;C claims require acknowledgment within 15 days, decision within 30 days, and 45-day status updates when unresolved.</t>
        </is>
      </c>
    </row>
    <row r="86">
      <c r="A86" s="348" t="inlineStr">
        <is>
          <t>Iowa</t>
        </is>
      </c>
      <c r="B86" s="348" t="inlineStr">
        <is>
          <t>Comparative Negligence</t>
        </is>
      </c>
      <c r="C86" s="348" t="inlineStr">
        <is>
          <t>Statute</t>
        </is>
      </c>
      <c r="D86" s="348" t="inlineStr">
        <is>
          <t>Iowa Code § 668.3</t>
        </is>
      </c>
      <c r="E86" s="348" t="inlineStr">
        <is>
          <t>https://www.legis.iowa.gov/docs/code/668.3.pdf</t>
        </is>
      </c>
      <c r="F86" s="348" t="inlineStr">
        <is>
          <t>2026-06-07</t>
        </is>
      </c>
      <c r="G86" s="348" t="inlineStr">
        <is>
          <t>2027-06-07</t>
        </is>
      </c>
      <c r="H86" s="348" t="inlineStr">
        <is>
          <t>Pass</t>
        </is>
      </c>
      <c r="I86" s="348" t="inlineStr">
        <is>
          <t>Claimant fault does not bar recovery unless claimant bears a greater percentage of fault than the combined fault of other parties.</t>
        </is>
      </c>
    </row>
    <row r="87">
      <c r="A87" s="348" t="inlineStr">
        <is>
          <t>Iowa</t>
        </is>
      </c>
      <c r="B87" s="348" t="inlineStr">
        <is>
          <t>PIP / No-Fault</t>
        </is>
      </c>
      <c r="C87" s="348" t="inlineStr">
        <is>
          <t>Administrative Code / Regulation</t>
        </is>
      </c>
      <c r="D87" s="348" t="inlineStr">
        <is>
          <t>Iowa Code § 321A.21</t>
        </is>
      </c>
      <c r="E87" s="348" t="inlineStr">
        <is>
          <t>https://www.legis.iowa.gov/law/iowaCode</t>
        </is>
      </c>
      <c r="F87" s="348" t="inlineStr">
        <is>
          <t>2026-06-07</t>
        </is>
      </c>
      <c r="G87" s="348" t="inlineStr">
        <is>
          <t>2027-06-07</t>
        </is>
      </c>
      <c r="H87" s="348" t="inlineStr">
        <is>
          <t>Pass</t>
        </is>
      </c>
      <c r="I87" s="348" t="inlineStr">
        <is>
          <t>Traditional tort state; PIP is not required.</t>
        </is>
      </c>
    </row>
    <row r="88">
      <c r="A88" s="348" t="inlineStr">
        <is>
          <t>Iowa</t>
        </is>
      </c>
      <c r="B88" s="348" t="inlineStr">
        <is>
          <t>Policy Disclosure</t>
        </is>
      </c>
      <c r="C88" s="348" t="inlineStr">
        <is>
          <t>Court Rule / Case Authority</t>
        </is>
      </c>
      <c r="D88" s="348" t="inlineStr">
        <is>
          <t>Iowa R. Civ. P. 1.500(1)(a)(4); 1.503(2)</t>
        </is>
      </c>
      <c r="E88" s="348" t="inlineStr">
        <is>
          <t>https://www.legis.iowa.gov/docs/ACO/CourtRulesChapter/1.pdf</t>
        </is>
      </c>
      <c r="F88" s="348" t="inlineStr">
        <is>
          <t>2026-06-07</t>
        </is>
      </c>
      <c r="G88" s="348" t="inlineStr">
        <is>
          <t>2027-06-07</t>
        </is>
      </c>
      <c r="H88" s="348" t="inlineStr">
        <is>
          <t>Pass</t>
        </is>
      </c>
      <c r="I88" s="348" t="inlineStr">
        <is>
          <t>No Iowa pre-suit third-party policy-limits disclosure statute was confirmed. Iowa litigation rules require insurance information in initial disclosures and allow additional discovery of insurance agreements.</t>
        </is>
      </c>
    </row>
    <row r="89">
      <c r="A89" s="348" t="inlineStr">
        <is>
          <t>Iowa</t>
        </is>
      </c>
      <c r="B89" s="348" t="inlineStr">
        <is>
          <t>UM/UIM Rules</t>
        </is>
      </c>
      <c r="C89" s="348" t="inlineStr">
        <is>
          <t>Statute</t>
        </is>
      </c>
      <c r="D89" s="348" t="inlineStr">
        <is>
          <t>Iowa Code §§ 516A.1; 516A.2</t>
        </is>
      </c>
      <c r="E89" s="348" t="inlineStr">
        <is>
          <t>https://www.legis.iowa.gov/docs/code/516A.1.pdf</t>
        </is>
      </c>
      <c r="F89" s="348" t="inlineStr">
        <is>
          <t>2026-06-07</t>
        </is>
      </c>
      <c r="G89" s="348" t="inlineStr">
        <is>
          <t>2027-06-07</t>
        </is>
      </c>
      <c r="H89" s="348" t="inlineStr">
        <is>
          <t>Pass</t>
        </is>
      </c>
      <c r="I89" s="348" t="inlineStr">
        <is>
          <t>Iowa requires UM, underinsured, and hit-and-run coverage unless rejected in writing. Limits and stacking are controlled by the statute and policy language.</t>
        </is>
      </c>
    </row>
    <row r="90">
      <c r="A90" s="348" t="inlineStr">
        <is>
          <t>Kansas</t>
        </is>
      </c>
      <c r="B90" s="348" t="inlineStr">
        <is>
          <t>Bad Faith</t>
        </is>
      </c>
      <c r="C90" s="348" t="inlineStr">
        <is>
          <t>Court Rule / Case Authority</t>
        </is>
      </c>
      <c r="D90" s="348" t="inlineStr">
        <is>
          <t>Glenn v. Fleming; Spencer v. Aetna Life &amp; Casualty</t>
        </is>
      </c>
      <c r="E90" s="348" t="inlineStr">
        <is>
          <t>https://law.justia.com/cases/kansas/supreme-court/1990/63-230-3.html</t>
        </is>
      </c>
      <c r="F90" s="348" t="inlineStr">
        <is>
          <t>2026-06-07</t>
        </is>
      </c>
      <c r="G90" s="348" t="inlineStr">
        <is>
          <t>2027-06-07</t>
        </is>
      </c>
      <c r="H90" s="348" t="inlineStr">
        <is>
          <t>Pass</t>
        </is>
      </c>
      <c r="I90" s="348" t="inlineStr">
        <is>
          <t>Kansas generally does not recognize a first-party bad-faith tort, but allows limited contract-based failure-to-settle claims.</t>
        </is>
      </c>
    </row>
    <row r="91">
      <c r="A91" s="348" t="inlineStr">
        <is>
          <t>Kansas</t>
        </is>
      </c>
      <c r="B91" s="348" t="inlineStr">
        <is>
          <t>Claims Deadlines</t>
        </is>
      </c>
      <c r="C91" s="348" t="inlineStr">
        <is>
          <t>Statute</t>
        </is>
      </c>
      <c r="D91" s="348" t="inlineStr">
        <is>
          <t>K.S.A. 40-2404(9)(b)-(f), (n); K.S.A. 40-2,126; K.A.R. 40-1-34</t>
        </is>
      </c>
      <c r="E91" s="348" t="inlineStr">
        <is>
          <t>https://ksrevisor.gov/statutes/chapters/ch40/040_024_0004.html; https://ksrevisor.gov/statutes/chapters/ch40/040_002_0126.html</t>
        </is>
      </c>
      <c r="F91" s="348" t="inlineStr">
        <is>
          <t>2026-06-07</t>
        </is>
      </c>
      <c r="G91" s="348" t="inlineStr">
        <is>
          <t>2027-06-07</t>
        </is>
      </c>
      <c r="H91" s="348" t="inlineStr">
        <is>
          <t>Pass</t>
        </is>
      </c>
      <c r="I91" s="348" t="inlineStr">
        <is>
          <t>Kansas general unfair-claims law uses reasonably prompt/prompt/reasonable-time standards; settlement-payment interest applies 30 calendar days after amount is agreed.</t>
        </is>
      </c>
    </row>
    <row r="92">
      <c r="A92" s="348" t="inlineStr">
        <is>
          <t>Kansas</t>
        </is>
      </c>
      <c r="B92" s="348" t="inlineStr">
        <is>
          <t>Comparative Negligence</t>
        </is>
      </c>
      <c r="C92" s="348" t="inlineStr">
        <is>
          <t>Statute</t>
        </is>
      </c>
      <c r="D92" s="348" t="inlineStr">
        <is>
          <t>K.S.A. § 60-258a</t>
        </is>
      </c>
      <c r="E92" s="348" t="inlineStr">
        <is>
          <t>https://www.ksrevisor.gov/statutes/chapters/ch60/060_002_0058a.html</t>
        </is>
      </c>
      <c r="F92" s="348" t="inlineStr">
        <is>
          <t>2026-06-07</t>
        </is>
      </c>
      <c r="G92" s="348" t="inlineStr">
        <is>
          <t>2027-06-07</t>
        </is>
      </c>
      <c r="H92" s="348" t="inlineStr">
        <is>
          <t>Pass</t>
        </is>
      </c>
      <c r="I92" s="348" t="inlineStr">
        <is>
          <t>Claimant may recover only when claimant causal negligence is less than the causal negligence of the party or parties against whom claim is made.</t>
        </is>
      </c>
    </row>
    <row r="93">
      <c r="A93" s="348" t="inlineStr">
        <is>
          <t>Kansas</t>
        </is>
      </c>
      <c r="B93" s="348" t="inlineStr">
        <is>
          <t>PIP / No-Fault</t>
        </is>
      </c>
      <c r="C93" s="348" t="inlineStr">
        <is>
          <t>Statute</t>
        </is>
      </c>
      <c r="D93" s="348" t="inlineStr">
        <is>
          <t>K.S.A. §§ 40-3107; 40-3117</t>
        </is>
      </c>
      <c r="E93" s="348" t="inlineStr">
        <is>
          <t>https://ksrevisor.gov/statutes/chapters/ch40/040_031_0017.html</t>
        </is>
      </c>
      <c r="F93" s="348" t="inlineStr">
        <is>
          <t>2026-06-07</t>
        </is>
      </c>
      <c r="G93" s="348" t="inlineStr">
        <is>
          <t>2027-06-07</t>
        </is>
      </c>
      <c r="H93" s="348" t="inlineStr">
        <is>
          <t>Pass</t>
        </is>
      </c>
      <c r="I93" s="348" t="inlineStr">
        <is>
          <t>Kansas is a no-fault state with mandatory PIP benefits and statutory tort thresholds.</t>
        </is>
      </c>
    </row>
    <row r="94">
      <c r="A94" s="348" t="inlineStr">
        <is>
          <t>Kansas</t>
        </is>
      </c>
      <c r="B94" s="348" t="inlineStr">
        <is>
          <t>Policy Disclosure</t>
        </is>
      </c>
      <c r="C94" s="348" t="inlineStr">
        <is>
          <t>Statute</t>
        </is>
      </c>
      <c r="D94" s="348" t="inlineStr">
        <is>
          <t>K.S.A. 60-226(b)(3)(A)</t>
        </is>
      </c>
      <c r="E94" s="348" t="inlineStr">
        <is>
          <t>https://ksrevisor.gov/statutes/chapters/ch60/060_002_0026.html</t>
        </is>
      </c>
      <c r="F94" s="348" t="inlineStr">
        <is>
          <t>2026-06-07</t>
        </is>
      </c>
      <c r="G94" s="348" t="inlineStr">
        <is>
          <t>2027-06-07</t>
        </is>
      </c>
      <c r="H94" s="348" t="inlineStr">
        <is>
          <t>Pass</t>
        </is>
      </c>
      <c r="I94" s="348" t="inlineStr">
        <is>
          <t>No identified statutory requirement for pre-suit disclosure of liability policy limits to third-party claimants. Insurance agreements are discoverable during litigation.</t>
        </is>
      </c>
    </row>
    <row r="95">
      <c r="A95" s="348" t="inlineStr">
        <is>
          <t>Kansas</t>
        </is>
      </c>
      <c r="B95" s="348" t="inlineStr">
        <is>
          <t>UM/UIM Rules</t>
        </is>
      </c>
      <c r="C95" s="348" t="inlineStr">
        <is>
          <t>Statute</t>
        </is>
      </c>
      <c r="D95" s="348" t="inlineStr">
        <is>
          <t>K.S.A. § 40-284</t>
        </is>
      </c>
      <c r="E95" s="348" t="inlineStr">
        <is>
          <t>https://ksrevisor.gov/statutes/chapters/ch40/040_002_0084.html</t>
        </is>
      </c>
      <c r="F95" s="348" t="inlineStr">
        <is>
          <t>2026-06-07</t>
        </is>
      </c>
      <c r="G95" s="348" t="inlineStr">
        <is>
          <t>2027-06-07</t>
        </is>
      </c>
      <c r="H95" s="348" t="inlineStr">
        <is>
          <t>Pass</t>
        </is>
      </c>
      <c r="I95" s="348" t="inlineStr">
        <is>
          <t>Kansas requires UM coverage including underinsured motorist protection. Coverage above statutory minimum financial-responsibility limits may be rejected in writing.</t>
        </is>
      </c>
    </row>
    <row r="96">
      <c r="A96" s="348" t="inlineStr">
        <is>
          <t>Kentucky</t>
        </is>
      </c>
      <c r="B96" s="348" t="inlineStr">
        <is>
          <t>Bad Faith</t>
        </is>
      </c>
      <c r="C96" s="348" t="inlineStr">
        <is>
          <t>Court Rule / Case Authority</t>
        </is>
      </c>
      <c r="D96" s="348" t="inlineStr">
        <is>
          <t>Ky. Rev. Stat. § 304.12-230; Wittmer v. Jones</t>
        </is>
      </c>
      <c r="E96" s="348" t="inlineStr">
        <is>
          <t>https://apps.legislature.ky.gov/law/statutes/statute.aspx?id=17033</t>
        </is>
      </c>
      <c r="F96" s="348" t="inlineStr">
        <is>
          <t>2026-06-07</t>
        </is>
      </c>
      <c r="G96" s="348" t="inlineStr">
        <is>
          <t>2027-06-07</t>
        </is>
      </c>
      <c r="H96" s="348" t="inlineStr">
        <is>
          <t>Pass</t>
        </is>
      </c>
      <c r="I96" s="348" t="inlineStr">
        <is>
          <t>Kentucky recognizes insurer bad-faith claims under statutory and common-law standards.</t>
        </is>
      </c>
    </row>
    <row r="97">
      <c r="A97" s="348" t="inlineStr">
        <is>
          <t>Kentucky</t>
        </is>
      </c>
      <c r="B97" s="348" t="inlineStr">
        <is>
          <t>Claims Deadlines</t>
        </is>
      </c>
      <c r="C97" s="348" t="inlineStr">
        <is>
          <t>Court Rule / Case Authority</t>
        </is>
      </c>
      <c r="D97" s="348" t="inlineStr">
        <is>
          <t>806 KAR 12:095; Ky. Rev. Stat. § 304.12-235</t>
        </is>
      </c>
      <c r="E97" s="348" t="inlineStr">
        <is>
          <t>https://apps.legislature.ky.gov/law/kar/titles/806/012/095/</t>
        </is>
      </c>
      <c r="F97" s="348" t="inlineStr">
        <is>
          <t>2026-06-07</t>
        </is>
      </c>
      <c r="G97" s="348" t="inlineStr">
        <is>
          <t>2027-06-07</t>
        </is>
      </c>
      <c r="H97" s="348" t="inlineStr">
        <is>
          <t>Pass</t>
        </is>
      </c>
      <c r="I97" s="348" t="inlineStr">
        <is>
          <t>P&amp;C claims require acknowledgment/forms within 15 days, decision within 30 days, and 45-day delay updates.</t>
        </is>
      </c>
    </row>
    <row r="98">
      <c r="A98" s="348" t="inlineStr">
        <is>
          <t>Kentucky</t>
        </is>
      </c>
      <c r="B98" s="348" t="inlineStr">
        <is>
          <t>Comparative Negligence</t>
        </is>
      </c>
      <c r="C98" s="348" t="inlineStr">
        <is>
          <t>Court Rule / Case Authority</t>
        </is>
      </c>
      <c r="D98" s="348" t="inlineStr">
        <is>
          <t>KRS § 411.182; Hilen v. Hays, 673 S.W.2d 713 (Ky. 1984)</t>
        </is>
      </c>
      <c r="E98" s="348" t="inlineStr">
        <is>
          <t>https://apps.legislature.ky.gov/law/statutes/statute.aspx?id=19672</t>
        </is>
      </c>
      <c r="F98" s="348" t="inlineStr">
        <is>
          <t>2026-06-07</t>
        </is>
      </c>
      <c r="G98" s="348" t="inlineStr">
        <is>
          <t>2027-06-07</t>
        </is>
      </c>
      <c r="H98" s="348" t="inlineStr">
        <is>
          <t>Pass</t>
        </is>
      </c>
      <c r="I98" s="348" t="inlineStr">
        <is>
          <t>Kentucky follows comparative fault apportionment; damages are allocated by percentage of fault.</t>
        </is>
      </c>
    </row>
    <row r="99">
      <c r="A99" s="348" t="inlineStr">
        <is>
          <t>Kentucky</t>
        </is>
      </c>
      <c r="B99" s="348" t="inlineStr">
        <is>
          <t>PIP / No-Fault</t>
        </is>
      </c>
      <c r="C99" s="348" t="inlineStr">
        <is>
          <t>Statute</t>
        </is>
      </c>
      <c r="D99" s="348" t="inlineStr">
        <is>
          <t>KRS §§ 304.39-020; 304.39-060</t>
        </is>
      </c>
      <c r="E99" s="348" t="inlineStr">
        <is>
          <t>https://insurance.ky.gov/ppc/newstatic_info.aspx?static_id=24</t>
        </is>
      </c>
      <c r="F99" s="348" t="inlineStr">
        <is>
          <t>2026-06-07</t>
        </is>
      </c>
      <c r="G99" s="348" t="inlineStr">
        <is>
          <t>2027-06-07</t>
        </is>
      </c>
      <c r="H99" s="348" t="inlineStr">
        <is>
          <t>Pass</t>
        </is>
      </c>
      <c r="I99" s="348" t="inlineStr">
        <is>
          <t>Kentucky provides basic reparation benefits and allows rejection of no-fault limitations.</t>
        </is>
      </c>
    </row>
    <row r="100">
      <c r="A100" s="348" t="inlineStr">
        <is>
          <t>Kentucky</t>
        </is>
      </c>
      <c r="B100" s="348" t="inlineStr">
        <is>
          <t>Policy Disclosure</t>
        </is>
      </c>
      <c r="C100" s="348" t="inlineStr">
        <is>
          <t>Court Rule / Case Authority</t>
        </is>
      </c>
      <c r="D100" s="348" t="inlineStr">
        <is>
          <t>Ky. R. Civ. P. 26.02(2)</t>
        </is>
      </c>
      <c r="E100" s="348" t="inlineStr">
        <is>
          <t>https://govt.westlaw.com/kyrules/Document/N85A3DA10A91B11DA8F5EE32367A250AE</t>
        </is>
      </c>
      <c r="F100" s="348" t="inlineStr">
        <is>
          <t>2026-06-07</t>
        </is>
      </c>
      <c r="G100" s="348" t="inlineStr">
        <is>
          <t>2027-06-07</t>
        </is>
      </c>
      <c r="H100" s="348" t="inlineStr">
        <is>
          <t>Pass</t>
        </is>
      </c>
      <c r="I100" s="348" t="inlineStr">
        <is>
          <t>No Kentucky pre-suit third-party policy-limits disclosure statute was confirmed. Insurance agreements are discoverable after litigation begins under CR 26.02(2).</t>
        </is>
      </c>
    </row>
    <row r="101">
      <c r="A101" s="348" t="inlineStr">
        <is>
          <t>Kentucky</t>
        </is>
      </c>
      <c r="B101" s="348" t="inlineStr">
        <is>
          <t>UM/UIM Rules</t>
        </is>
      </c>
      <c r="C101" s="348" t="inlineStr">
        <is>
          <t>Statute</t>
        </is>
      </c>
      <c r="D101" s="348" t="inlineStr">
        <is>
          <t>KRS §§ 304.20-020; 304.39-320</t>
        </is>
      </c>
      <c r="E101" s="348" t="inlineStr">
        <is>
          <t>https://apps.legislature.ky.gov/law/statutes/statute.aspx?id=45815</t>
        </is>
      </c>
      <c r="F101" s="348" t="inlineStr">
        <is>
          <t>2026-06-07</t>
        </is>
      </c>
      <c r="G101" s="348" t="inlineStr">
        <is>
          <t>2027-06-07</t>
        </is>
      </c>
      <c r="H101" s="348" t="inlineStr">
        <is>
          <t>Pass</t>
        </is>
      </c>
      <c r="I101" s="348" t="inlineStr">
        <is>
          <t>Kentucky requires UM coverage to be offered and allows rejection. UIM coverage is available by request/selection rather than a universal mandatory coverage.</t>
        </is>
      </c>
    </row>
    <row r="102">
      <c r="A102" s="348" t="inlineStr">
        <is>
          <t>Louisiana</t>
        </is>
      </c>
      <c r="B102" s="348" t="inlineStr">
        <is>
          <t>Bad Faith</t>
        </is>
      </c>
      <c r="C102" s="348" t="inlineStr">
        <is>
          <t>Authority / Verify Type</t>
        </is>
      </c>
      <c r="D102" s="348" t="inlineStr">
        <is>
          <t>La. R.S. 22:1892; La. R.S. 22:1973 / current claims-handling provisions</t>
        </is>
      </c>
      <c r="E102" s="348" t="inlineStr">
        <is>
          <t>https://legis.la.gov/legis/Law.aspx?d=509041</t>
        </is>
      </c>
      <c r="F102" s="348" t="inlineStr">
        <is>
          <t>2026-06-07</t>
        </is>
      </c>
      <c r="G102" s="348" t="inlineStr">
        <is>
          <t>2027-06-07</t>
        </is>
      </c>
      <c r="H102" s="348" t="inlineStr">
        <is>
          <t>Pass</t>
        </is>
      </c>
      <c r="I102" s="348" t="inlineStr">
        <is>
          <t>Louisiana provides statutory bad-faith remedies; third-party remedies are limited to specified statutory duties.</t>
        </is>
      </c>
    </row>
    <row r="103">
      <c r="A103" s="348" t="inlineStr">
        <is>
          <t>Louisiana</t>
        </is>
      </c>
      <c r="B103" s="348" t="inlineStr">
        <is>
          <t>Claims Deadlines</t>
        </is>
      </c>
      <c r="C103" s="348" t="inlineStr">
        <is>
          <t>Court Rule / Case Authority</t>
        </is>
      </c>
      <c r="D103" s="348" t="inlineStr">
        <is>
          <t>La. Rev. Stat. §§ 22:1892, 22:1811, 22:1821</t>
        </is>
      </c>
      <c r="E103" s="348" t="inlineStr">
        <is>
          <t>https://legis.la.gov/legis/Law.aspx?d=507316</t>
        </is>
      </c>
      <c r="F103" s="348" t="inlineStr">
        <is>
          <t>2026-06-07</t>
        </is>
      </c>
      <c r="G103" s="348" t="inlineStr">
        <is>
          <t>2027-06-07</t>
        </is>
      </c>
      <c r="H103" s="348" t="inlineStr">
        <is>
          <t>Pass</t>
        </is>
      </c>
      <c r="I103" s="348" t="inlineStr">
        <is>
          <t>Property/casualty insurers must initiate adjustment within 14 days and timely pay after proof or settlement obligations arise.</t>
        </is>
      </c>
    </row>
    <row r="104">
      <c r="A104" s="348" t="inlineStr">
        <is>
          <t>Louisiana</t>
        </is>
      </c>
      <c r="B104" s="348" t="inlineStr">
        <is>
          <t>Comparative Negligence</t>
        </is>
      </c>
      <c r="C104" s="348" t="inlineStr">
        <is>
          <t>Court Rule / Case Authority</t>
        </is>
      </c>
      <c r="D104" s="348" t="inlineStr">
        <is>
          <t>La. Civ. Code art. 2323</t>
        </is>
      </c>
      <c r="E104" s="348" t="inlineStr">
        <is>
          <t>https://legis.la.gov/legis/Law.aspx?d=109388</t>
        </is>
      </c>
      <c r="F104" s="348" t="inlineStr">
        <is>
          <t>2026-06-07</t>
        </is>
      </c>
      <c r="G104" s="348" t="inlineStr">
        <is>
          <t>2027-06-07</t>
        </is>
      </c>
      <c r="H104" s="348" t="inlineStr">
        <is>
          <t>Pass</t>
        </is>
      </c>
      <c r="I104" s="348" t="inlineStr">
        <is>
          <t>Damages are reduced in proportion to the degree or percentage of negligence attributable to the claimant.</t>
        </is>
      </c>
    </row>
    <row r="105">
      <c r="A105" s="348" t="inlineStr">
        <is>
          <t>Louisiana</t>
        </is>
      </c>
      <c r="B105" s="348" t="inlineStr">
        <is>
          <t>PIP / No-Fault</t>
        </is>
      </c>
      <c r="C105" s="348" t="inlineStr">
        <is>
          <t>Statute</t>
        </is>
      </c>
      <c r="D105" s="348" t="inlineStr">
        <is>
          <t>La. R.S. § 32:861</t>
        </is>
      </c>
      <c r="E105" s="348" t="inlineStr">
        <is>
          <t>https://legis.la.gov/legis/Law.aspx?d=88211</t>
        </is>
      </c>
      <c r="F105" s="348" t="inlineStr">
        <is>
          <t>2026-06-07</t>
        </is>
      </c>
      <c r="G105" s="348" t="inlineStr">
        <is>
          <t>2027-06-07</t>
        </is>
      </c>
      <c r="H105" s="348" t="inlineStr">
        <is>
          <t>Pass</t>
        </is>
      </c>
      <c r="I105" s="348" t="inlineStr">
        <is>
          <t>Traditional tort state; PIP is not required.</t>
        </is>
      </c>
    </row>
    <row r="106">
      <c r="A106" s="348" t="inlineStr">
        <is>
          <t>Louisiana</t>
        </is>
      </c>
      <c r="B106" s="348" t="inlineStr">
        <is>
          <t>Policy Disclosure</t>
        </is>
      </c>
      <c r="C106" s="348" t="inlineStr">
        <is>
          <t>Authority / Verify Type</t>
        </is>
      </c>
      <c r="D106" s="348" t="inlineStr">
        <is>
          <t>La. C.C.P. art. 1423</t>
        </is>
      </c>
      <c r="E106" s="348" t="inlineStr">
        <is>
          <t>https://www.legis.la.gov/legis/Laws_Toc.aspx?folder=68&amp;level=Parent</t>
        </is>
      </c>
      <c r="F106" s="348" t="inlineStr">
        <is>
          <t>2026-06-07</t>
        </is>
      </c>
      <c r="G106" s="348" t="inlineStr">
        <is>
          <t>2027-06-07</t>
        </is>
      </c>
      <c r="H106" s="348" t="inlineStr">
        <is>
          <t>Pass</t>
        </is>
      </c>
      <c r="I106" s="348" t="inlineStr">
        <is>
          <t>No identified statutory requirement for pre-suit disclosure of liability policy limits to third-party claimants. Insurance agreements are discoverable during litigation.</t>
        </is>
      </c>
    </row>
    <row r="107">
      <c r="A107" s="348" t="inlineStr">
        <is>
          <t>Louisiana</t>
        </is>
      </c>
      <c r="B107" s="348" t="inlineStr">
        <is>
          <t>UM/UIM Rules</t>
        </is>
      </c>
      <c r="C107" s="348" t="inlineStr">
        <is>
          <t>Statute</t>
        </is>
      </c>
      <c r="D107" s="348" t="inlineStr">
        <is>
          <t>La. R.S. § 22:1295</t>
        </is>
      </c>
      <c r="E107" s="348" t="inlineStr">
        <is>
          <t>https://legis.la.gov/legis/Law.aspx?d=508161</t>
        </is>
      </c>
      <c r="F107" s="348" t="inlineStr">
        <is>
          <t>2026-06-07</t>
        </is>
      </c>
      <c r="G107" s="348" t="inlineStr">
        <is>
          <t>2027-06-07</t>
        </is>
      </c>
      <c r="H107" s="348" t="inlineStr">
        <is>
          <t>Pass</t>
        </is>
      </c>
      <c r="I107" s="348" t="inlineStr">
        <is>
          <t>Louisiana requires UM coverage in limits not less than bodily injury liability limits unless the insured validly rejects coverage, selects lower limits, or chooses economic-only coverage on the approved form.</t>
        </is>
      </c>
    </row>
    <row r="108">
      <c r="A108" s="348" t="inlineStr">
        <is>
          <t>Maine</t>
        </is>
      </c>
      <c r="B108" s="348" t="inlineStr">
        <is>
          <t>Bad Faith</t>
        </is>
      </c>
      <c r="C108" s="348" t="inlineStr">
        <is>
          <t>Court Rule / Case Authority</t>
        </is>
      </c>
      <c r="D108" s="348" t="inlineStr">
        <is>
          <t>Marquis v. Farm Family Mutual; 24-A M.R.S. § 2436-A</t>
        </is>
      </c>
      <c r="E108" s="348" t="inlineStr">
        <is>
          <t>https://law.justia.com/cases/maine/supreme-court/1993/628-a-2d-644-0.html</t>
        </is>
      </c>
      <c r="F108" s="348" t="inlineStr">
        <is>
          <t>2026-06-07</t>
        </is>
      </c>
      <c r="G108" s="348" t="inlineStr">
        <is>
          <t>2027-06-07</t>
        </is>
      </c>
      <c r="H108" s="348" t="inlineStr">
        <is>
          <t>Pass</t>
        </is>
      </c>
      <c r="I108" s="348" t="inlineStr">
        <is>
          <t>Maine recognizes an insurer good-faith duty, but remedies are mainly contract-based or limited by statute.</t>
        </is>
      </c>
    </row>
    <row r="109">
      <c r="A109" s="348" t="inlineStr">
        <is>
          <t>Maine</t>
        </is>
      </c>
      <c r="B109" s="348" t="inlineStr">
        <is>
          <t>Claims Deadlines</t>
        </is>
      </c>
      <c r="C109" s="348" t="inlineStr">
        <is>
          <t>Statute</t>
        </is>
      </c>
      <c r="D109" s="348" t="inlineStr">
        <is>
          <t>24-A M.R.S. §§ 2436, 3002, 2513</t>
        </is>
      </c>
      <c r="E109" s="348" t="inlineStr">
        <is>
          <t>https://legislature.maine.gov/statutes/24-A/title24-Asec2436.html</t>
        </is>
      </c>
      <c r="F109" s="348" t="inlineStr">
        <is>
          <t>2026-06-07</t>
        </is>
      </c>
      <c r="G109" s="348" t="inlineStr">
        <is>
          <t>2027-06-07</t>
        </is>
      </c>
      <c r="H109" s="348" t="inlineStr">
        <is>
          <t>Pass</t>
        </is>
      </c>
      <c r="I109" s="348" t="inlineStr">
        <is>
          <t>Maine provides line-specific late-payment rules rather than a broad acknowledgment/investigation deadline.</t>
        </is>
      </c>
    </row>
    <row r="110">
      <c r="A110" s="348" t="inlineStr">
        <is>
          <t>Maine</t>
        </is>
      </c>
      <c r="B110" s="348" t="inlineStr">
        <is>
          <t>Comparative Negligence</t>
        </is>
      </c>
      <c r="C110" s="348" t="inlineStr">
        <is>
          <t>Statute</t>
        </is>
      </c>
      <c r="D110" s="348" t="inlineStr">
        <is>
          <t>14 M.R.S. § 156</t>
        </is>
      </c>
      <c r="E110" s="348" t="inlineStr">
        <is>
          <t>https://legislature.maine.gov/statutes/14/title14sec156.html</t>
        </is>
      </c>
      <c r="F110" s="348" t="inlineStr">
        <is>
          <t>2026-06-07</t>
        </is>
      </c>
      <c r="G110" s="348" t="inlineStr">
        <is>
          <t>2027-06-07</t>
        </is>
      </c>
      <c r="H110" s="348" t="inlineStr">
        <is>
          <t>Pass</t>
        </is>
      </c>
      <c r="I110" s="348" t="inlineStr">
        <is>
          <t>Claimant is barred when claimant fault is equal to or greater than the total fault of the defendant or defendants.</t>
        </is>
      </c>
    </row>
    <row r="111">
      <c r="A111" s="348" t="inlineStr">
        <is>
          <t>Maine</t>
        </is>
      </c>
      <c r="B111" s="348" t="inlineStr">
        <is>
          <t>PIP / No-Fault</t>
        </is>
      </c>
      <c r="C111" s="348" t="inlineStr">
        <is>
          <t>Statute</t>
        </is>
      </c>
      <c r="D111" s="348" t="inlineStr">
        <is>
          <t>29-A M.R.S. §§ 1605; 1605-A</t>
        </is>
      </c>
      <c r="E111" s="348" t="inlineStr">
        <is>
          <t>https://legislature.maine.gov/statutes/29-A/title29-Asec1605-A.html</t>
        </is>
      </c>
      <c r="F111" s="348" t="inlineStr">
        <is>
          <t>2026-06-07</t>
        </is>
      </c>
      <c r="G111" s="348" t="inlineStr">
        <is>
          <t>2027-06-07</t>
        </is>
      </c>
      <c r="H111" s="348" t="inlineStr">
        <is>
          <t>Pass</t>
        </is>
      </c>
      <c r="I111" s="348" t="inlineStr">
        <is>
          <t>Traditional tort state; PIP is not required. Maine requires separate medical payments coverage.</t>
        </is>
      </c>
    </row>
    <row r="112">
      <c r="A112" s="348" t="inlineStr">
        <is>
          <t>Maine</t>
        </is>
      </c>
      <c r="B112" s="348" t="inlineStr">
        <is>
          <t>Policy Disclosure</t>
        </is>
      </c>
      <c r="C112" s="348" t="inlineStr">
        <is>
          <t>Statute</t>
        </is>
      </c>
      <c r="D112" s="348" t="inlineStr">
        <is>
          <t>24-A M.R.S. § 2164-E</t>
        </is>
      </c>
      <c r="E112" s="348" t="inlineStr">
        <is>
          <t>https://legislature.maine.gov/statutes/24-a/title24-Asec2164-E.html</t>
        </is>
      </c>
      <c r="F112" s="348" t="inlineStr">
        <is>
          <t>2026-06-07</t>
        </is>
      </c>
      <c r="G112" s="348" t="inlineStr">
        <is>
          <t>2027-06-07</t>
        </is>
      </c>
      <c r="H112" s="348" t="inlineStr">
        <is>
          <t>Pass</t>
        </is>
      </c>
      <c r="I112" s="348" t="inlineStr">
        <is>
          <t>Requires an insurer doing business in Maine to disclose the insured's liability coverage limits after written request; noncompliance may trigger a $500 penalty plus fees and expenses.</t>
        </is>
      </c>
    </row>
    <row r="113">
      <c r="A113" s="348" t="inlineStr">
        <is>
          <t>Maine</t>
        </is>
      </c>
      <c r="B113" s="348" t="inlineStr">
        <is>
          <t>UM/UIM Rules</t>
        </is>
      </c>
      <c r="C113" s="348" t="inlineStr">
        <is>
          <t>Statute</t>
        </is>
      </c>
      <c r="D113" s="348" t="inlineStr">
        <is>
          <t>24-A M.R.S. § 2902</t>
        </is>
      </c>
      <c r="E113" s="348" t="inlineStr">
        <is>
          <t>https://legislature.maine.gov/statutes/24-a/title24-Asec2902.html</t>
        </is>
      </c>
      <c r="F113" s="348" t="inlineStr">
        <is>
          <t>2026-06-07</t>
        </is>
      </c>
      <c r="G113" s="348" t="inlineStr">
        <is>
          <t>2027-06-07</t>
        </is>
      </c>
      <c r="H113" s="348" t="inlineStr">
        <is>
          <t>Pass</t>
        </is>
      </c>
      <c r="I113" s="348" t="inlineStr">
        <is>
          <t>Maine requires uninsured motor vehicle coverage and permits a written election of lower limits under statutory procedures.</t>
        </is>
      </c>
    </row>
    <row r="114">
      <c r="A114" s="348" t="inlineStr">
        <is>
          <t>Maryland</t>
        </is>
      </c>
      <c r="B114" s="348" t="inlineStr">
        <is>
          <t>Bad Faith</t>
        </is>
      </c>
      <c r="C114" s="348" t="inlineStr">
        <is>
          <t>Statute</t>
        </is>
      </c>
      <c r="D114" s="348" t="inlineStr">
        <is>
          <t>Md. Code Ins. § 27-1001</t>
        </is>
      </c>
      <c r="E114" s="348" t="inlineStr">
        <is>
          <t>https://mgaleg.maryland.gov</t>
        </is>
      </c>
      <c r="F114" s="348" t="inlineStr">
        <is>
          <t>2026-06-07</t>
        </is>
      </c>
      <c r="G114" s="348" t="inlineStr">
        <is>
          <t>2027-06-07</t>
        </is>
      </c>
      <c r="H114" s="348" t="inlineStr">
        <is>
          <t>Pass</t>
        </is>
      </c>
      <c r="I114" s="348" t="inlineStr">
        <is>
          <t>Maryland primarily provides a statutory first-party remedy for lack of good faith in settling covered claims.</t>
        </is>
      </c>
    </row>
    <row r="115">
      <c r="A115" s="348" t="inlineStr">
        <is>
          <t>Maryland</t>
        </is>
      </c>
      <c r="B115" s="348" t="inlineStr">
        <is>
          <t>Claims Deadlines</t>
        </is>
      </c>
      <c r="C115" s="348" t="inlineStr">
        <is>
          <t>Administrative Code / Regulation</t>
        </is>
      </c>
      <c r="D115" s="348" t="inlineStr">
        <is>
          <t>COMAR 31.15.07.03; COMAR 31.15.08.03; Md. Code Ins. § 19-508</t>
        </is>
      </c>
      <c r="E115" s="348" t="inlineStr">
        <is>
          <t>https://dsd.maryland.gov/regulations/Pages/31.15.07.03.aspx</t>
        </is>
      </c>
      <c r="F115" s="348" t="inlineStr">
        <is>
          <t>2026-06-07</t>
        </is>
      </c>
      <c r="G115" s="348" t="inlineStr">
        <is>
          <t>2027-06-07</t>
        </is>
      </c>
      <c r="H115" s="348" t="inlineStr">
        <is>
          <t>Pass</t>
        </is>
      </c>
      <c r="I115" s="348" t="inlineStr">
        <is>
          <t>P&amp;C claims generally require acknowledgment and coverage decision within 15 working days.</t>
        </is>
      </c>
    </row>
    <row r="116">
      <c r="A116" s="348" t="inlineStr">
        <is>
          <t>Maryland</t>
        </is>
      </c>
      <c r="B116" s="348" t="inlineStr">
        <is>
          <t>Comparative Negligence</t>
        </is>
      </c>
      <c r="C116" s="348" t="inlineStr">
        <is>
          <t>Court Rule / Case Authority</t>
        </is>
      </c>
      <c r="D116" s="348" t="inlineStr">
        <is>
          <t>Coleman v. Soccer Ass'n of Columbia, 432 Md. 679 (2013)</t>
        </is>
      </c>
      <c r="E116" s="348" t="inlineStr">
        <is>
          <t>https://mdcourts.gov/data/opinions/coa/2013/9a12.pdf</t>
        </is>
      </c>
      <c r="F116" s="348" t="inlineStr">
        <is>
          <t>2026-06-07</t>
        </is>
      </c>
      <c r="G116" s="348" t="inlineStr">
        <is>
          <t>2027-06-07</t>
        </is>
      </c>
      <c r="H116" s="348" t="inlineStr">
        <is>
          <t>Pass</t>
        </is>
      </c>
      <c r="I116" s="348" t="inlineStr">
        <is>
          <t>Maryland retains contributory negligence as a complete bar to ordinary negligence recovery.</t>
        </is>
      </c>
    </row>
    <row r="117">
      <c r="A117" s="348" t="inlineStr">
        <is>
          <t>Maryland</t>
        </is>
      </c>
      <c r="B117" s="348" t="inlineStr">
        <is>
          <t>PIP / No-Fault</t>
        </is>
      </c>
      <c r="C117" s="348" t="inlineStr">
        <is>
          <t>Statute</t>
        </is>
      </c>
      <c r="D117" s="348" t="inlineStr">
        <is>
          <t>Md. Code Ann., Ins. §§ 19-505; 19-506</t>
        </is>
      </c>
      <c r="E117" s="348" t="inlineStr">
        <is>
          <t>https://mgaleg.maryland.gov/mgawebsite/Laws/StatuteText?article=gin&amp;section=19-505</t>
        </is>
      </c>
      <c r="F117" s="348" t="inlineStr">
        <is>
          <t>2026-06-07</t>
        </is>
      </c>
      <c r="G117" s="348" t="inlineStr">
        <is>
          <t>2027-06-07</t>
        </is>
      </c>
      <c r="H117" s="348" t="inlineStr">
        <is>
          <t>Pass</t>
        </is>
      </c>
      <c r="I117" s="348" t="inlineStr">
        <is>
          <t>PIP benefits apply unless waived or rejected as permitted by statute; no tort threshold limits lawsuits.</t>
        </is>
      </c>
    </row>
    <row r="118">
      <c r="A118" s="348" t="inlineStr">
        <is>
          <t>Maryland</t>
        </is>
      </c>
      <c r="B118" s="348" t="inlineStr">
        <is>
          <t>Policy Disclosure</t>
        </is>
      </c>
      <c r="C118" s="348" t="inlineStr">
        <is>
          <t>Statute</t>
        </is>
      </c>
      <c r="D118" s="348" t="inlineStr">
        <is>
          <t>Md. Code Ann., Cts. &amp; Jud. Proc. §§ 10-1101 to 10-1104</t>
        </is>
      </c>
      <c r="E118" s="348" t="inlineStr">
        <is>
          <t>https://mgaleg.maryland.gov/mgawebsite/Laws/StatuteText?article=gcj&amp;section=10-1103</t>
        </is>
      </c>
      <c r="F118" s="348" t="inlineStr">
        <is>
          <t>2026-06-07</t>
        </is>
      </c>
      <c r="G118" s="348" t="inlineStr">
        <is>
          <t>2027-06-07</t>
        </is>
      </c>
      <c r="H118" s="348" t="inlineStr">
        <is>
          <t>Pass</t>
        </is>
      </c>
      <c r="I118" s="348" t="inlineStr">
        <is>
          <t>Pre-litigation procedure requires specified claim details and Maryland attorney certification that the claim was investigated and is not frivolous.</t>
        </is>
      </c>
    </row>
    <row r="119">
      <c r="A119" s="348" t="inlineStr">
        <is>
          <t>Maryland</t>
        </is>
      </c>
      <c r="B119" s="348" t="inlineStr">
        <is>
          <t>UM/UIM Rules</t>
        </is>
      </c>
      <c r="C119" s="348" t="inlineStr">
        <is>
          <t>Statute</t>
        </is>
      </c>
      <c r="D119" s="348" t="inlineStr">
        <is>
          <t>Md. Code, Ins. §§ 19-509, 19-510</t>
        </is>
      </c>
      <c r="E119" s="348" t="inlineStr">
        <is>
          <t>https://mgaleg.maryland.gov/mgawebsite/Laws/StatuteText?article=gin&amp;section=19-509</t>
        </is>
      </c>
      <c r="F119" s="348" t="inlineStr">
        <is>
          <t>2026-06-07</t>
        </is>
      </c>
      <c r="G119" s="348" t="inlineStr">
        <is>
          <t>2027-06-07</t>
        </is>
      </c>
      <c r="H119" s="348" t="inlineStr">
        <is>
          <t>Pass</t>
        </is>
      </c>
      <c r="I119" s="348" t="inlineStr">
        <is>
          <t>Maryland requires uninsured motorist coverage, including underinsured treatment within the statutory definition. Equal-limits treatment may be waived under statutory procedures.</t>
        </is>
      </c>
    </row>
    <row r="120">
      <c r="A120" s="348" t="inlineStr">
        <is>
          <t>Massachusetts</t>
        </is>
      </c>
      <c r="B120" s="348" t="inlineStr">
        <is>
          <t>Bad Faith</t>
        </is>
      </c>
      <c r="C120" s="348" t="inlineStr">
        <is>
          <t>Authority / Verify Type</t>
        </is>
      </c>
      <c r="D120" s="348" t="inlineStr">
        <is>
          <t>Mass. Gen. Laws ch. 93A; ch. 176D</t>
        </is>
      </c>
      <c r="E120" s="348" t="inlineStr">
        <is>
          <t>https://malegislature.gov</t>
        </is>
      </c>
      <c r="F120" s="348" t="inlineStr">
        <is>
          <t>2026-06-07</t>
        </is>
      </c>
      <c r="G120" s="348" t="inlineStr">
        <is>
          <t>2027-06-07</t>
        </is>
      </c>
      <c r="H120" s="348" t="inlineStr">
        <is>
          <t>Pass</t>
        </is>
      </c>
      <c r="I120" s="348" t="inlineStr">
        <is>
          <t>Massachusetts provides statutory remedies for unfair claim-settlement practices and insurer misconduct.</t>
        </is>
      </c>
    </row>
    <row r="121">
      <c r="A121" s="348" t="inlineStr">
        <is>
          <t>Massachusetts</t>
        </is>
      </c>
      <c r="B121" s="348" t="inlineStr">
        <is>
          <t>Claims Deadlines</t>
        </is>
      </c>
      <c r="C121" s="348" t="inlineStr">
        <is>
          <t>Statute</t>
        </is>
      </c>
      <c r="D121" s="348" t="inlineStr">
        <is>
          <t>Mass. Gen. Laws ch. 176D, § 3(9); ch. 175, § 119C</t>
        </is>
      </c>
      <c r="E121" s="348" t="inlineStr">
        <is>
          <t>https://malegislature.gov/Laws/GeneralLaws/PartI/TitleXXII/Chapter176D/Section3</t>
        </is>
      </c>
      <c r="F121" s="348" t="inlineStr">
        <is>
          <t>2026-06-07</t>
        </is>
      </c>
      <c r="G121" s="348" t="inlineStr">
        <is>
          <t>2027-06-07</t>
        </is>
      </c>
      <c r="H121" s="348" t="inlineStr">
        <is>
          <t>Pass</t>
        </is>
      </c>
      <c r="I121" s="348" t="inlineStr">
        <is>
          <t>Massachusetts uses prompt-claim standards in its unfair-claims statute; some lines have specific payment rules.</t>
        </is>
      </c>
    </row>
    <row r="122">
      <c r="A122" s="348" t="inlineStr">
        <is>
          <t>Massachusetts</t>
        </is>
      </c>
      <c r="B122" s="348" t="inlineStr">
        <is>
          <t>Comparative Negligence</t>
        </is>
      </c>
      <c r="C122" s="348" t="inlineStr">
        <is>
          <t>Statute</t>
        </is>
      </c>
      <c r="D122" s="348" t="inlineStr">
        <is>
          <t>Mass. Gen. Laws ch. 231, § 85</t>
        </is>
      </c>
      <c r="E122" s="348" t="inlineStr">
        <is>
          <t>https://malegislature.gov/Laws/GeneralLaws/PartIII/TitleII/Chapter231/Section85</t>
        </is>
      </c>
      <c r="F122" s="348" t="inlineStr">
        <is>
          <t>2026-06-07</t>
        </is>
      </c>
      <c r="G122" s="348" t="inlineStr">
        <is>
          <t>2027-06-07</t>
        </is>
      </c>
      <c r="H122" s="348" t="inlineStr">
        <is>
          <t>Pass</t>
        </is>
      </c>
      <c r="I122" s="348" t="inlineStr">
        <is>
          <t>Claimant may recover if claimant negligence is not greater than the total negligence of the person or persons against whom recovery is sought.</t>
        </is>
      </c>
    </row>
    <row r="123">
      <c r="A123" s="348" t="inlineStr">
        <is>
          <t>Massachusetts</t>
        </is>
      </c>
      <c r="B123" s="348" t="inlineStr">
        <is>
          <t>PIP / No-Fault</t>
        </is>
      </c>
      <c r="C123" s="348" t="inlineStr">
        <is>
          <t>Statute</t>
        </is>
      </c>
      <c r="D123" s="348" t="inlineStr">
        <is>
          <t>Mass. Gen. Laws ch. 90 § 34A; ch. 231 § 6D</t>
        </is>
      </c>
      <c r="E123" s="348" t="inlineStr">
        <is>
          <t>https://malegislature.gov/Laws/GeneralLaws/PartIII/TitleII/Chapter231/Section6d</t>
        </is>
      </c>
      <c r="F123" s="348" t="inlineStr">
        <is>
          <t>2026-06-07</t>
        </is>
      </c>
      <c r="G123" s="348" t="inlineStr">
        <is>
          <t>2027-06-07</t>
        </is>
      </c>
      <c r="H123" s="348" t="inlineStr">
        <is>
          <t>Pass</t>
        </is>
      </c>
      <c r="I123" s="348" t="inlineStr">
        <is>
          <t>Massachusetts requires PIP coverage and applies a monetary/serious-injury threshold for pain-and-suffering claims.</t>
        </is>
      </c>
    </row>
    <row r="124">
      <c r="A124" s="348" t="inlineStr">
        <is>
          <t>Massachusetts</t>
        </is>
      </c>
      <c r="B124" s="348" t="inlineStr">
        <is>
          <t>Policy Disclosure</t>
        </is>
      </c>
      <c r="C124" s="348" t="inlineStr">
        <is>
          <t>Statute</t>
        </is>
      </c>
      <c r="D124" s="348" t="inlineStr">
        <is>
          <t>Mass. Gen. Laws ch. 175, § 112C</t>
        </is>
      </c>
      <c r="E124" s="348" t="inlineStr">
        <is>
          <t>https://malegislature.gov/Laws/GeneralLaws/PartI/TitleXXII/Chapter175/Section112c</t>
        </is>
      </c>
      <c r="F124" s="348" t="inlineStr">
        <is>
          <t>2026-06-07</t>
        </is>
      </c>
      <c r="G124" s="348" t="inlineStr">
        <is>
          <t>2027-06-07</t>
        </is>
      </c>
      <c r="H124" s="348" t="inlineStr">
        <is>
          <t>Pass</t>
        </is>
      </c>
      <c r="I124" s="348" t="inlineStr">
        <is>
          <t>Any insurer doing business in Massachusetts must reveal liability limits on written request. Failure may expose insurer to statutory penalty, attorney fees, and expenses.</t>
        </is>
      </c>
    </row>
    <row r="125">
      <c r="A125" s="348" t="inlineStr">
        <is>
          <t>Massachusetts</t>
        </is>
      </c>
      <c r="B125" s="348" t="inlineStr">
        <is>
          <t>UM/UIM Rules</t>
        </is>
      </c>
      <c r="C125" s="348" t="inlineStr">
        <is>
          <t>Statute</t>
        </is>
      </c>
      <c r="D125" s="348" t="inlineStr">
        <is>
          <t>Mass. Gen. Laws ch. 175, § 113L</t>
        </is>
      </c>
      <c r="E125" s="348" t="inlineStr">
        <is>
          <t>https://malegislature.gov/Laws/GeneralLaws/PartI/TitleXXII/Chapter175/Section113L</t>
        </is>
      </c>
      <c r="F125" s="348" t="inlineStr">
        <is>
          <t>2026-06-07</t>
        </is>
      </c>
      <c r="G125" s="348" t="inlineStr">
        <is>
          <t>2027-06-07</t>
        </is>
      </c>
      <c r="H125" s="348" t="inlineStr">
        <is>
          <t>Pass</t>
        </is>
      </c>
      <c r="I125" s="348" t="inlineStr">
        <is>
          <t>Massachusetts requires compulsory uninsured motorist coverage. Underinsured motorist coverage is generally optional/selected rather than part of the compulsory minimum coverage.</t>
        </is>
      </c>
    </row>
    <row r="126">
      <c r="A126" s="348" t="inlineStr">
        <is>
          <t>Michigan</t>
        </is>
      </c>
      <c r="B126" s="348" t="inlineStr">
        <is>
          <t>Bad Faith</t>
        </is>
      </c>
      <c r="C126" s="348" t="inlineStr">
        <is>
          <t>Court Rule / Case Authority</t>
        </is>
      </c>
      <c r="D126" s="348" t="inlineStr">
        <is>
          <t>MCL § 500.2006; Kewin v. Massachusetts Mutual Life Ins. Co.</t>
        </is>
      </c>
      <c r="E126" s="348" t="inlineStr">
        <is>
          <t>https://www.legislature.mi.gov/Laws/MCL?objectName=mcl-500-2006</t>
        </is>
      </c>
      <c r="F126" s="348" t="inlineStr">
        <is>
          <t>2026-06-07</t>
        </is>
      </c>
      <c r="G126" s="348" t="inlineStr">
        <is>
          <t>2027-06-07</t>
        </is>
      </c>
      <c r="H126" s="348" t="inlineStr">
        <is>
          <t>Pass</t>
        </is>
      </c>
      <c r="I126" s="348" t="inlineStr">
        <is>
          <t>Michigan does not recognize a broad independent insurer bad-faith tort, but statutory penalty-interest and limited duty-to-settle principles may apply.</t>
        </is>
      </c>
    </row>
    <row r="127">
      <c r="A127" s="348" t="inlineStr">
        <is>
          <t>Michigan</t>
        </is>
      </c>
      <c r="B127" s="348" t="inlineStr">
        <is>
          <t>Claims Deadlines</t>
        </is>
      </c>
      <c r="C127" s="348" t="inlineStr">
        <is>
          <t>Statute</t>
        </is>
      </c>
      <c r="D127" s="348" t="inlineStr">
        <is>
          <t>Mich. Comp. Laws § 500.2006</t>
        </is>
      </c>
      <c r="E127" s="348" t="inlineStr">
        <is>
          <t>https://www.legislature.mi.gov/Laws/MCL?objectName=mcl-500-2006</t>
        </is>
      </c>
      <c r="F127" s="348" t="inlineStr">
        <is>
          <t>2026-06-07</t>
        </is>
      </c>
      <c r="G127" s="348" t="inlineStr">
        <is>
          <t>2027-06-07</t>
        </is>
      </c>
      <c r="H127" s="348" t="inlineStr">
        <is>
          <t>Pass</t>
        </is>
      </c>
      <c r="I127" s="348" t="inlineStr">
        <is>
          <t>Insurer must identify needed proof within 30 days unless paid; overdue benefits accrue interest after statutory deadlines.</t>
        </is>
      </c>
    </row>
    <row r="128">
      <c r="A128" s="348" t="inlineStr">
        <is>
          <t>Michigan</t>
        </is>
      </c>
      <c r="B128" s="348" t="inlineStr">
        <is>
          <t>Comparative Negligence</t>
        </is>
      </c>
      <c r="C128" s="348" t="inlineStr">
        <is>
          <t>Statute</t>
        </is>
      </c>
      <c r="D128" s="348" t="inlineStr">
        <is>
          <t>MCL § 600.2959</t>
        </is>
      </c>
      <c r="E128" s="348" t="inlineStr">
        <is>
          <t>https://www.legislature.mi.gov/Laws/MCL?objectName=mcl-600-2959</t>
        </is>
      </c>
      <c r="F128" s="348" t="inlineStr">
        <is>
          <t>2026-06-07</t>
        </is>
      </c>
      <c r="G128" s="348" t="inlineStr">
        <is>
          <t>2027-06-07</t>
        </is>
      </c>
      <c r="H128" s="348" t="inlineStr">
        <is>
          <t>Pass</t>
        </is>
      </c>
      <c r="I128" s="348" t="inlineStr">
        <is>
          <t>Damages are reduced by percentage of fault; noneconomic damages are barred if claimant fault is greater than 50%.</t>
        </is>
      </c>
    </row>
    <row r="129">
      <c r="A129" s="348" t="inlineStr">
        <is>
          <t>Michigan</t>
        </is>
      </c>
      <c r="B129" s="348" t="inlineStr">
        <is>
          <t>PIP / No-Fault</t>
        </is>
      </c>
      <c r="C129" s="348" t="inlineStr">
        <is>
          <t>Statute</t>
        </is>
      </c>
      <c r="D129" s="348" t="inlineStr">
        <is>
          <t>MCL §§ 500.3101; 500.3107c; 500.3135</t>
        </is>
      </c>
      <c r="E129" s="348" t="inlineStr">
        <is>
          <t>https://www.legislature.mi.gov/Laws/MCL?objectName=mcl-500-3107c</t>
        </is>
      </c>
      <c r="F129" s="348" t="inlineStr">
        <is>
          <t>2026-06-07</t>
        </is>
      </c>
      <c r="G129" s="348" t="inlineStr">
        <is>
          <t>2027-06-07</t>
        </is>
      </c>
      <c r="H129" s="348" t="inlineStr">
        <is>
          <t>Pass</t>
        </is>
      </c>
      <c r="I129" s="348" t="inlineStr">
        <is>
          <t>Michigan is a no-fault state with selectable PIP medical coverage levels and a verbal tort threshold.</t>
        </is>
      </c>
    </row>
    <row r="130">
      <c r="A130" s="348" t="inlineStr">
        <is>
          <t>Michigan</t>
        </is>
      </c>
      <c r="B130" s="348" t="inlineStr">
        <is>
          <t>Policy Disclosure</t>
        </is>
      </c>
      <c r="C130" s="348" t="inlineStr">
        <is>
          <t>Administrative Code / Regulation</t>
        </is>
      </c>
      <c r="D130" s="348" t="inlineStr">
        <is>
          <t>MCR 2.302</t>
        </is>
      </c>
      <c r="E130" s="348" t="inlineStr">
        <is>
          <t>https://www.courts.michigan.gov/siteassets/rules-instructions-administrative-orders/michigan-court-rules/court-rules-book-ch-2-responsive-html5.zip/index.html</t>
        </is>
      </c>
      <c r="F130" s="348" t="inlineStr">
        <is>
          <t>2026-06-07</t>
        </is>
      </c>
      <c r="G130" s="348" t="inlineStr">
        <is>
          <t>2027-06-07</t>
        </is>
      </c>
      <c r="H130" s="348" t="inlineStr">
        <is>
          <t>Pass</t>
        </is>
      </c>
      <c r="I130" s="348" t="inlineStr">
        <is>
          <t>No identified statutory requirement for pre-suit disclosure of liability policy limits to third-party claimants. Insurance agreements are discoverable during litigation.</t>
        </is>
      </c>
    </row>
    <row r="131">
      <c r="A131" s="348" t="inlineStr">
        <is>
          <t>Michigan</t>
        </is>
      </c>
      <c r="B131" s="348" t="inlineStr">
        <is>
          <t>UM/UIM Rules</t>
        </is>
      </c>
      <c r="C131" s="348" t="inlineStr">
        <is>
          <t>DOI / Regulator Guidance</t>
        </is>
      </c>
      <c r="D131" s="348" t="inlineStr">
        <is>
          <t>Michigan DIFS Auto Insurance Guide</t>
        </is>
      </c>
      <c r="E131" s="348" t="inlineStr">
        <is>
          <t>https://www.michigan.gov/difs/consumers/insurance/auto-insurance</t>
        </is>
      </c>
      <c r="F131" s="348" t="inlineStr">
        <is>
          <t>2026-06-07</t>
        </is>
      </c>
      <c r="G131" s="348" t="inlineStr">
        <is>
          <t>2027-06-07</t>
        </is>
      </c>
      <c r="H131" s="348" t="inlineStr">
        <is>
          <t>Pass</t>
        </is>
      </c>
      <c r="I131" s="348" t="inlineStr">
        <is>
          <t>Michigan does not require UM/UIM coverage as mandatory automobile insurance; availability, limits, and stacking depend on policy terms.</t>
        </is>
      </c>
    </row>
    <row r="132">
      <c r="A132" s="348" t="inlineStr">
        <is>
          <t>Minnesota</t>
        </is>
      </c>
      <c r="B132" s="348" t="inlineStr">
        <is>
          <t>Bad Faith</t>
        </is>
      </c>
      <c r="C132" s="348" t="inlineStr">
        <is>
          <t>Statute</t>
        </is>
      </c>
      <c r="D132" s="348" t="inlineStr">
        <is>
          <t>Minn. Stat. § 604.18</t>
        </is>
      </c>
      <c r="E132" s="348" t="inlineStr">
        <is>
          <t>https://www.revisor.mn.gov/statutes/cite/604.18</t>
        </is>
      </c>
      <c r="F132" s="348" t="inlineStr">
        <is>
          <t>2026-06-07</t>
        </is>
      </c>
      <c r="G132" s="348" t="inlineStr">
        <is>
          <t>2027-06-07</t>
        </is>
      </c>
      <c r="H132" s="348" t="inlineStr">
        <is>
          <t>Pass</t>
        </is>
      </c>
      <c r="I132" s="348" t="inlineStr">
        <is>
          <t>Minnesota provides a first-party statutory remedy for bad-faith denial of insurance benefits; third-party direct claims are not treated the same way.</t>
        </is>
      </c>
    </row>
    <row r="133">
      <c r="A133" s="348" t="inlineStr">
        <is>
          <t>Minnesota</t>
        </is>
      </c>
      <c r="B133" s="348" t="inlineStr">
        <is>
          <t>Claims Deadlines</t>
        </is>
      </c>
      <c r="C133" s="348" t="inlineStr">
        <is>
          <t>Statute</t>
        </is>
      </c>
      <c r="D133" s="348" t="inlineStr">
        <is>
          <t>Minn. Stat. § 72A.201, subd. 4; § 62Q.75</t>
        </is>
      </c>
      <c r="E133" s="348" t="inlineStr">
        <is>
          <t>https://www.revisor.mn.gov/statutes/cite/72A.201</t>
        </is>
      </c>
      <c r="F133" s="348" t="inlineStr">
        <is>
          <t>2026-06-07</t>
        </is>
      </c>
      <c r="G133" s="348" t="inlineStr">
        <is>
          <t>2027-06-07</t>
        </is>
      </c>
      <c r="H133" s="348" t="inlineStr">
        <is>
          <t>Pass</t>
        </is>
      </c>
      <c r="I133" s="348" t="inlineStr">
        <is>
          <t>Insurers must acknowledge within 10 business days and notify acceptance or denial within 60 days.</t>
        </is>
      </c>
    </row>
    <row r="134">
      <c r="A134" s="348" t="inlineStr">
        <is>
          <t>Minnesota</t>
        </is>
      </c>
      <c r="B134" s="348" t="inlineStr">
        <is>
          <t>Comparative Negligence</t>
        </is>
      </c>
      <c r="C134" s="348" t="inlineStr">
        <is>
          <t>Statute</t>
        </is>
      </c>
      <c r="D134" s="348" t="inlineStr">
        <is>
          <t>Minn. Stat. § 604.01</t>
        </is>
      </c>
      <c r="E134" s="348" t="inlineStr">
        <is>
          <t>https://www.revisor.mn.gov/statutes/cite/604.01</t>
        </is>
      </c>
      <c r="F134" s="348" t="inlineStr">
        <is>
          <t>2026-06-07</t>
        </is>
      </c>
      <c r="G134" s="348" t="inlineStr">
        <is>
          <t>2027-06-07</t>
        </is>
      </c>
      <c r="H134" s="348" t="inlineStr">
        <is>
          <t>Pass</t>
        </is>
      </c>
      <c r="I134" s="348" t="inlineStr">
        <is>
          <t>Claimant may recover if claimant fault is not greater than the fault of the person against whom recovery is sought.</t>
        </is>
      </c>
    </row>
    <row r="135">
      <c r="A135" s="348" t="inlineStr">
        <is>
          <t>Minnesota</t>
        </is>
      </c>
      <c r="B135" s="348" t="inlineStr">
        <is>
          <t>PIP / No-Fault</t>
        </is>
      </c>
      <c r="C135" s="348" t="inlineStr">
        <is>
          <t>Statute</t>
        </is>
      </c>
      <c r="D135" s="348" t="inlineStr">
        <is>
          <t>Minn. Stat. §§ 65B.44; 65B.51</t>
        </is>
      </c>
      <c r="E135" s="348" t="inlineStr">
        <is>
          <t>https://www.revisor.mn.gov/statutes/cite/65B.44</t>
        </is>
      </c>
      <c r="F135" s="348" t="inlineStr">
        <is>
          <t>2026-06-07</t>
        </is>
      </c>
      <c r="G135" s="348" t="inlineStr">
        <is>
          <t>2027-06-07</t>
        </is>
      </c>
      <c r="H135" s="348" t="inlineStr">
        <is>
          <t>Pass</t>
        </is>
      </c>
      <c r="I135" s="348" t="inlineStr">
        <is>
          <t>Basic economic loss benefits provide at least $40,000; tort recovery is limited by statutory thresholds.</t>
        </is>
      </c>
    </row>
    <row r="136">
      <c r="A136" s="348" t="inlineStr">
        <is>
          <t>Minnesota</t>
        </is>
      </c>
      <c r="B136" s="348" t="inlineStr">
        <is>
          <t>Policy Disclosure</t>
        </is>
      </c>
      <c r="C136" s="348" t="inlineStr">
        <is>
          <t>Statute</t>
        </is>
      </c>
      <c r="D136" s="348" t="inlineStr">
        <is>
          <t>Minn. Stat. § 72A.201 Subd. 11</t>
        </is>
      </c>
      <c r="E136" s="348" t="inlineStr">
        <is>
          <t>https://www.revisor.mn.gov/statutes/cite/72A.201</t>
        </is>
      </c>
      <c r="F136" s="348" t="inlineStr">
        <is>
          <t>2026-06-07</t>
        </is>
      </c>
      <c r="G136" s="348" t="inlineStr">
        <is>
          <t>2027-06-07</t>
        </is>
      </c>
      <c r="H136" s="348" t="inlineStr">
        <is>
          <t>Pass</t>
        </is>
      </c>
      <c r="I136" s="348" t="inlineStr">
        <is>
          <t>Insurer must disclose applicable coverage and limits within 30 days after written request.</t>
        </is>
      </c>
    </row>
    <row r="137">
      <c r="A137" s="348" t="inlineStr">
        <is>
          <t>Minnesota</t>
        </is>
      </c>
      <c r="B137" s="348" t="inlineStr">
        <is>
          <t>UM/UIM Rules</t>
        </is>
      </c>
      <c r="C137" s="348" t="inlineStr">
        <is>
          <t>Statute</t>
        </is>
      </c>
      <c r="D137" s="348" t="inlineStr">
        <is>
          <t>Minn. Stat. § 65B.49, subd. 3a</t>
        </is>
      </c>
      <c r="E137" s="348" t="inlineStr">
        <is>
          <t>https://www.revisor.mn.gov/statutes/cite/65B.49</t>
        </is>
      </c>
      <c r="F137" s="348" t="inlineStr">
        <is>
          <t>2026-06-07</t>
        </is>
      </c>
      <c r="G137" s="348" t="inlineStr">
        <is>
          <t>2027-06-07</t>
        </is>
      </c>
      <c r="H137" s="348" t="inlineStr">
        <is>
          <t>Pass</t>
        </is>
      </c>
      <c r="I137" s="348" t="inlineStr">
        <is>
          <t>Minnesota requires uninsured and underinsured motorist coverage as part of the No-Fault Act. Minimum UM/UIM limits are set by statute; coverage above BI limits is not required.</t>
        </is>
      </c>
    </row>
    <row r="138">
      <c r="A138" s="348" t="inlineStr">
        <is>
          <t>Mississippi</t>
        </is>
      </c>
      <c r="B138" s="348" t="inlineStr">
        <is>
          <t>Bad Faith</t>
        </is>
      </c>
      <c r="C138" s="348" t="inlineStr">
        <is>
          <t>Court Rule / Case Authority</t>
        </is>
      </c>
      <c r="D138" s="348" t="inlineStr">
        <is>
          <t>State Farm Mut. Auto. Ins. Co. v. Grimes</t>
        </is>
      </c>
      <c r="E138" s="348" t="inlineStr">
        <is>
          <t>https://law.justia.com</t>
        </is>
      </c>
      <c r="F138" s="348" t="inlineStr">
        <is>
          <t>2026-06-07</t>
        </is>
      </c>
      <c r="G138" s="348" t="inlineStr">
        <is>
          <t>2027-06-07</t>
        </is>
      </c>
      <c r="H138" s="348" t="inlineStr">
        <is>
          <t>Pass</t>
        </is>
      </c>
      <c r="I138" s="348" t="inlineStr">
        <is>
          <t>Mississippi recognizes common-law insurer bad-faith claims.</t>
        </is>
      </c>
    </row>
    <row r="139">
      <c r="A139" s="348" t="inlineStr">
        <is>
          <t>Mississippi</t>
        </is>
      </c>
      <c r="B139" s="348" t="inlineStr">
        <is>
          <t>Claims Deadlines</t>
        </is>
      </c>
      <c r="C139" s="348" t="inlineStr">
        <is>
          <t>Statute</t>
        </is>
      </c>
      <c r="D139" s="348" t="inlineStr">
        <is>
          <t>Miss. Code Ann. § 83-9-5; MID Accident and Health Submission Requirements</t>
        </is>
      </c>
      <c r="E139" s="348" t="inlineStr">
        <is>
          <t>https://www.mid.ms.gov/wp-content/uploads/2023/04/accidentandhealthsubmissionrequirements.pdf</t>
        </is>
      </c>
      <c r="F139" s="348" t="inlineStr">
        <is>
          <t>2026-06-07</t>
        </is>
      </c>
      <c r="G139" s="348" t="inlineStr">
        <is>
          <t>2027-06-07</t>
        </is>
      </c>
      <c r="H139" s="348" t="inlineStr">
        <is>
          <t>Pass</t>
        </is>
      </c>
      <c r="I139" s="348" t="inlineStr">
        <is>
          <t>No broad Mississippi statutory/regulatory auto/P&amp;C claim-handling deadline was located; fixed 15/25/35-day timing is accident-and-health clean-claim specific.</t>
        </is>
      </c>
    </row>
    <row r="140">
      <c r="A140" s="348" t="inlineStr">
        <is>
          <t>Mississippi</t>
        </is>
      </c>
      <c r="B140" s="348" t="inlineStr">
        <is>
          <t>Comparative Negligence</t>
        </is>
      </c>
      <c r="C140" s="348" t="inlineStr">
        <is>
          <t>Statute</t>
        </is>
      </c>
      <c r="D140" s="348" t="inlineStr">
        <is>
          <t>Miss. Code Ann. § 11-7-15</t>
        </is>
      </c>
      <c r="E140" s="348" t="inlineStr">
        <is>
          <t>https://advance.lexis.com/container?config=014EJAA3OTNkYzRlOS01MDcxLTRhOGItYWJkOS1iZGUyNjA5Y2M4Y2EKAFBvZENhdGFsb2fkY4Wkiqo6YsflNRhmQCcw&amp;crid=f6ce0682-d686-461e-8f20-3de90f71507a</t>
        </is>
      </c>
      <c r="F140" s="348" t="inlineStr">
        <is>
          <t>2026-06-07</t>
        </is>
      </c>
      <c r="G140" s="348" t="inlineStr">
        <is>
          <t>2027-06-07</t>
        </is>
      </c>
      <c r="H140" s="348" t="inlineStr">
        <is>
          <t>Pass</t>
        </is>
      </c>
      <c r="I140" s="348" t="inlineStr">
        <is>
          <t>Contributory negligence does not bar recovery; damages are reduced in proportion to claimant negligence.</t>
        </is>
      </c>
    </row>
    <row r="141">
      <c r="A141" s="348" t="inlineStr">
        <is>
          <t>Mississippi</t>
        </is>
      </c>
      <c r="B141" s="348" t="inlineStr">
        <is>
          <t>PIP / No-Fault</t>
        </is>
      </c>
      <c r="C141" s="348" t="inlineStr">
        <is>
          <t>Statute</t>
        </is>
      </c>
      <c r="D141" s="348" t="inlineStr">
        <is>
          <t>Miss. Code Ann. § 63-15-3</t>
        </is>
      </c>
      <c r="E141" s="348" t="inlineStr">
        <is>
          <t>https://www.mid.ms.gov/mississippi-insurance-department/consumers/auto-insurance/</t>
        </is>
      </c>
      <c r="F141" s="348" t="inlineStr">
        <is>
          <t>2026-06-07</t>
        </is>
      </c>
      <c r="G141" s="348" t="inlineStr">
        <is>
          <t>2027-06-07</t>
        </is>
      </c>
      <c r="H141" s="348" t="inlineStr">
        <is>
          <t>Pass</t>
        </is>
      </c>
      <c r="I141" s="348" t="inlineStr">
        <is>
          <t>Traditional tort state; PIP is not required.</t>
        </is>
      </c>
    </row>
    <row r="142">
      <c r="A142" s="348" t="inlineStr">
        <is>
          <t>Mississippi</t>
        </is>
      </c>
      <c r="B142" s="348" t="inlineStr">
        <is>
          <t>Policy Disclosure</t>
        </is>
      </c>
      <c r="C142" s="348" t="inlineStr">
        <is>
          <t>Court Rule / Case Authority</t>
        </is>
      </c>
      <c r="D142" s="348" t="inlineStr">
        <is>
          <t>Miss. R. Civ. P. 26(b)(2)</t>
        </is>
      </c>
      <c r="E142" s="348" t="inlineStr">
        <is>
          <t>https://courts.ms.gov/research/rules/msrulesofcourt/Rules_of_Civil_Procedure.pdf</t>
        </is>
      </c>
      <c r="F142" s="348" t="inlineStr">
        <is>
          <t>2026-06-07</t>
        </is>
      </c>
      <c r="G142" s="348" t="inlineStr">
        <is>
          <t>2027-06-07</t>
        </is>
      </c>
      <c r="H142" s="348" t="inlineStr">
        <is>
          <t>Pass</t>
        </is>
      </c>
      <c r="I142" s="348" t="inlineStr">
        <is>
          <t>No identified statutory requirement for pre-suit disclosure of liability policy limits to third-party claimants. Insurance agreements are discoverable during litigation.</t>
        </is>
      </c>
    </row>
    <row r="143">
      <c r="A143" s="348" t="inlineStr">
        <is>
          <t>Mississippi</t>
        </is>
      </c>
      <c r="B143" s="348" t="inlineStr">
        <is>
          <t>UM/UIM Rules</t>
        </is>
      </c>
      <c r="C143" s="348" t="inlineStr">
        <is>
          <t>Statute</t>
        </is>
      </c>
      <c r="D143" s="348" t="inlineStr">
        <is>
          <t>Miss. Code Ann. § 83-11-101</t>
        </is>
      </c>
      <c r="E143" s="348" t="inlineStr">
        <is>
          <t>https://law.justia.com/codes/mississippi/title-83/chapter-11/article-3/section-83-11-101/</t>
        </is>
      </c>
      <c r="F143" s="348" t="inlineStr">
        <is>
          <t>2026-06-07</t>
        </is>
      </c>
      <c r="G143" s="348" t="inlineStr">
        <is>
          <t>2027-06-07</t>
        </is>
      </c>
      <c r="H143" s="348" t="inlineStr">
        <is>
          <t>Pass</t>
        </is>
      </c>
      <c r="I143" s="348" t="inlineStr">
        <is>
          <t>Mississippi requires automobile liability policies to contain UM coverage unless rejected by the insured. Mississippi is commonly treated as a stacking-friendly UM jurisdiction subject to statutory and policy limits.</t>
        </is>
      </c>
    </row>
    <row r="144">
      <c r="A144" s="348" t="inlineStr">
        <is>
          <t>Missouri</t>
        </is>
      </c>
      <c r="B144" s="348" t="inlineStr">
        <is>
          <t>Bad Faith</t>
        </is>
      </c>
      <c r="C144" s="348" t="inlineStr">
        <is>
          <t>Court Rule / Case Authority</t>
        </is>
      </c>
      <c r="D144" s="348" t="inlineStr">
        <is>
          <t>Mo. Rev. Stat. § 375.296</t>
        </is>
      </c>
      <c r="E144" s="348" t="inlineStr">
        <is>
          <t>https://revisor.mo.gov</t>
        </is>
      </c>
      <c r="F144" s="348" t="inlineStr">
        <is>
          <t>2026-06-07</t>
        </is>
      </c>
      <c r="G144" s="348" t="inlineStr">
        <is>
          <t>2027-06-07</t>
        </is>
      </c>
      <c r="H144" s="348" t="inlineStr">
        <is>
          <t>Pass</t>
        </is>
      </c>
      <c r="I144" s="348" t="inlineStr">
        <is>
          <t>Missouri recognizes bad-faith refusal-to-settle and related statutory remedies.</t>
        </is>
      </c>
    </row>
    <row r="145">
      <c r="A145" s="348" t="inlineStr">
        <is>
          <t>Missouri</t>
        </is>
      </c>
      <c r="B145" s="348" t="inlineStr">
        <is>
          <t>Claims Deadlines</t>
        </is>
      </c>
      <c r="C145" s="348" t="inlineStr">
        <is>
          <t>Court Rule / Case Authority</t>
        </is>
      </c>
      <c r="D145" s="348" t="inlineStr">
        <is>
          <t>20 CSR 100-1.010 to 100-1.050</t>
        </is>
      </c>
      <c r="E145" s="348" t="inlineStr">
        <is>
          <t>https://www.sos.mo.gov/cmsimages/adrules/csr/current/20csr/20c100-1.pdf</t>
        </is>
      </c>
      <c r="F145" s="348" t="inlineStr">
        <is>
          <t>2026-06-07</t>
        </is>
      </c>
      <c r="G145" s="348" t="inlineStr">
        <is>
          <t>2027-06-07</t>
        </is>
      </c>
      <c r="H145" s="348" t="inlineStr">
        <is>
          <t>Pass</t>
        </is>
      </c>
      <c r="I145" s="348" t="inlineStr">
        <is>
          <t>Insurer must acknowledge and respond within 10 working days; accept/deny within 15 working days after submitted forms.</t>
        </is>
      </c>
    </row>
    <row r="146">
      <c r="A146" s="348" t="inlineStr">
        <is>
          <t>Missouri</t>
        </is>
      </c>
      <c r="B146" s="348" t="inlineStr">
        <is>
          <t>Comparative Negligence</t>
        </is>
      </c>
      <c r="C146" s="348" t="inlineStr">
        <is>
          <t>Court Rule / Case Authority</t>
        </is>
      </c>
      <c r="D146" s="348" t="inlineStr">
        <is>
          <t>Gustafson v. Benda, 661 S.W.2d 11 (Mo. 1983)</t>
        </is>
      </c>
      <c r="E146" s="348" t="inlineStr">
        <is>
          <t>https://law.justia.com/cases/missouri/supreme-court/1983/64460-0.html</t>
        </is>
      </c>
      <c r="F146" s="348" t="inlineStr">
        <is>
          <t>2026-06-07</t>
        </is>
      </c>
      <c r="G146" s="348" t="inlineStr">
        <is>
          <t>2027-06-07</t>
        </is>
      </c>
      <c r="H146" s="348" t="inlineStr">
        <is>
          <t>Pass</t>
        </is>
      </c>
      <c r="I146" s="348" t="inlineStr">
        <is>
          <t>Missouri follows pure comparative fault under case law; damages are reduced by claimant percentage of fault.</t>
        </is>
      </c>
    </row>
    <row r="147">
      <c r="A147" s="348" t="inlineStr">
        <is>
          <t>Missouri</t>
        </is>
      </c>
      <c r="B147" s="348" t="inlineStr">
        <is>
          <t>PIP / No-Fault</t>
        </is>
      </c>
      <c r="C147" s="348" t="inlineStr">
        <is>
          <t>Court Rule / Case Authority</t>
        </is>
      </c>
      <c r="D147" s="348" t="inlineStr">
        <is>
          <t>Mo. Rev. Stat. § 303.025</t>
        </is>
      </c>
      <c r="E147" s="348" t="inlineStr">
        <is>
          <t>https://revisor.mo.gov/main/OneSection.aspx?section=303.025</t>
        </is>
      </c>
      <c r="F147" s="348" t="inlineStr">
        <is>
          <t>2026-06-07</t>
        </is>
      </c>
      <c r="G147" s="348" t="inlineStr">
        <is>
          <t>2027-06-07</t>
        </is>
      </c>
      <c r="H147" s="348" t="inlineStr">
        <is>
          <t>Pass</t>
        </is>
      </c>
      <c r="I147" s="348" t="inlineStr">
        <is>
          <t>Traditional tort state; PIP is not required.</t>
        </is>
      </c>
    </row>
    <row r="148">
      <c r="A148" s="348" t="inlineStr">
        <is>
          <t>Missouri</t>
        </is>
      </c>
      <c r="B148" s="348" t="inlineStr">
        <is>
          <t>Policy Disclosure</t>
        </is>
      </c>
      <c r="C148" s="348" t="inlineStr">
        <is>
          <t>Court Rule / Case Authority</t>
        </is>
      </c>
      <c r="D148" s="348" t="inlineStr">
        <is>
          <t>Mo. Rev. Stat. § 537.058</t>
        </is>
      </c>
      <c r="E148" s="348" t="inlineStr">
        <is>
          <t>https://revisor.mo.gov/main/OneSection.aspx?section=537.058</t>
        </is>
      </c>
      <c r="F148" s="348" t="inlineStr">
        <is>
          <t>2026-06-07</t>
        </is>
      </c>
      <c r="G148" s="348" t="inlineStr">
        <is>
          <t>2027-06-07</t>
        </is>
      </c>
      <c r="H148" s="348" t="inlineStr">
        <is>
          <t>Pass</t>
        </is>
      </c>
      <c r="I148" s="348" t="inlineStr">
        <is>
          <t>Missouri does not appear to provide a simple standalone pre-suit policy-limits disclosure statute. Section 537.058 creates a time-limited demand procedure for injury, bodily injury, or wrongful death claims and allows the demand to request applicable policy limits.</t>
        </is>
      </c>
    </row>
    <row r="149">
      <c r="A149" s="348" t="inlineStr">
        <is>
          <t>Missouri</t>
        </is>
      </c>
      <c r="B149" s="348" t="inlineStr">
        <is>
          <t>UM/UIM Rules</t>
        </is>
      </c>
      <c r="C149" s="348" t="inlineStr">
        <is>
          <t>Statute</t>
        </is>
      </c>
      <c r="D149" s="348" t="inlineStr">
        <is>
          <t>RSMo § 379.203</t>
        </is>
      </c>
      <c r="E149" s="348" t="inlineStr">
        <is>
          <t>https://revisor.mo.gov/main/OneSection.aspx?section=379.203</t>
        </is>
      </c>
      <c r="F149" s="348" t="inlineStr">
        <is>
          <t>2026-06-07</t>
        </is>
      </c>
      <c r="G149" s="348" t="inlineStr">
        <is>
          <t>2027-06-07</t>
        </is>
      </c>
      <c r="H149" s="348" t="inlineStr">
        <is>
          <t>Pass</t>
        </is>
      </c>
      <c r="I149" s="348" t="inlineStr">
        <is>
          <t>Missouri requires uninsured motorist coverage in automobile liability policies. Underinsured motorist coverage is not mandated by the same statute and generally depends on the policy.</t>
        </is>
      </c>
    </row>
    <row r="150">
      <c r="A150" s="348" t="inlineStr">
        <is>
          <t>Montana</t>
        </is>
      </c>
      <c r="B150" s="348" t="inlineStr">
        <is>
          <t>Bad Faith</t>
        </is>
      </c>
      <c r="C150" s="348" t="inlineStr">
        <is>
          <t>Statute</t>
        </is>
      </c>
      <c r="D150" s="348" t="inlineStr">
        <is>
          <t>Mont. Code Ann. § 33-18-242</t>
        </is>
      </c>
      <c r="E150" s="348" t="inlineStr">
        <is>
          <t>https://leg.mt.gov</t>
        </is>
      </c>
      <c r="F150" s="348" t="inlineStr">
        <is>
          <t>2026-06-07</t>
        </is>
      </c>
      <c r="G150" s="348" t="inlineStr">
        <is>
          <t>2027-06-07</t>
        </is>
      </c>
      <c r="H150" s="348" t="inlineStr">
        <is>
          <t>Pass</t>
        </is>
      </c>
      <c r="I150" s="348" t="inlineStr">
        <is>
          <t>Montana provides broad statutory remedies for insurer unfair-claims practices, including certain third-party actions.</t>
        </is>
      </c>
    </row>
    <row r="151">
      <c r="A151" s="348" t="inlineStr">
        <is>
          <t>Montana</t>
        </is>
      </c>
      <c r="B151" s="348" t="inlineStr">
        <is>
          <t>Claims Deadlines</t>
        </is>
      </c>
      <c r="C151" s="348" t="inlineStr">
        <is>
          <t>Statute</t>
        </is>
      </c>
      <c r="D151" s="348" t="inlineStr">
        <is>
          <t>Mont. Code Ann. § 33-18-201(2), (3), (5), (6)</t>
        </is>
      </c>
      <c r="E151" s="348" t="inlineStr">
        <is>
          <t>https://mca.legmt.gov/bills/mca/title_0330/chapter_0180/part_0020/section_0010/0330-0180-0020-0010.html</t>
        </is>
      </c>
      <c r="F151" s="348" t="inlineStr">
        <is>
          <t>2026-06-07</t>
        </is>
      </c>
      <c r="G151" s="348" t="inlineStr">
        <is>
          <t>2027-06-07</t>
        </is>
      </c>
      <c r="H151" s="348" t="inlineStr">
        <is>
          <t>Pass</t>
        </is>
      </c>
      <c r="I151" s="348" t="inlineStr">
        <is>
          <t>Montana uses reasonable/prompt standards rather than fixed general day counts.</t>
        </is>
      </c>
    </row>
    <row r="152">
      <c r="A152" s="348" t="inlineStr">
        <is>
          <t>Montana</t>
        </is>
      </c>
      <c r="B152" s="348" t="inlineStr">
        <is>
          <t>Comparative Negligence</t>
        </is>
      </c>
      <c r="C152" s="348" t="inlineStr">
        <is>
          <t>Statute</t>
        </is>
      </c>
      <c r="D152" s="348" t="inlineStr">
        <is>
          <t>Mont. Code Ann. § 27-1-702</t>
        </is>
      </c>
      <c r="E152" s="348" t="inlineStr">
        <is>
          <t>https://mca.legmt.gov/bills/mca/title_0270/chapter_0010/part_0070/section_0020/0270-0010-0070-0020.html</t>
        </is>
      </c>
      <c r="F152" s="348" t="inlineStr">
        <is>
          <t>2026-06-07</t>
        </is>
      </c>
      <c r="G152" s="348" t="inlineStr">
        <is>
          <t>2027-06-07</t>
        </is>
      </c>
      <c r="H152" s="348" t="inlineStr">
        <is>
          <t>Pass</t>
        </is>
      </c>
      <c r="I152" s="348" t="inlineStr">
        <is>
          <t>Claimant may recover if claimant negligence is not greater than the negligence of the defendant or defendants; damages are reduced by claimant fault.</t>
        </is>
      </c>
    </row>
    <row r="153">
      <c r="A153" s="348" t="inlineStr">
        <is>
          <t>Montana</t>
        </is>
      </c>
      <c r="B153" s="348" t="inlineStr">
        <is>
          <t>PIP / No-Fault</t>
        </is>
      </c>
      <c r="C153" s="348" t="inlineStr">
        <is>
          <t>Statute</t>
        </is>
      </c>
      <c r="D153" s="348" t="inlineStr">
        <is>
          <t>Mont. Code Ann. § 61-6-301</t>
        </is>
      </c>
      <c r="E153" s="348" t="inlineStr">
        <is>
          <t>https://leg.mt.gov/bills/mca/title_0610/chapter_0060/part_0030/section_0010/0610-0060-0030-0010.html</t>
        </is>
      </c>
      <c r="F153" s="348" t="inlineStr">
        <is>
          <t>2026-06-07</t>
        </is>
      </c>
      <c r="G153" s="348" t="inlineStr">
        <is>
          <t>2027-06-07</t>
        </is>
      </c>
      <c r="H153" s="348" t="inlineStr">
        <is>
          <t>Pass</t>
        </is>
      </c>
      <c r="I153" s="348" t="inlineStr">
        <is>
          <t>Traditional tort state; PIP is not required.</t>
        </is>
      </c>
    </row>
    <row r="154">
      <c r="A154" s="348" t="inlineStr">
        <is>
          <t>Montana</t>
        </is>
      </c>
      <c r="B154" s="348" t="inlineStr">
        <is>
          <t>Policy Disclosure</t>
        </is>
      </c>
      <c r="C154" s="348" t="inlineStr">
        <is>
          <t>Court Rule / Case Authority</t>
        </is>
      </c>
      <c r="D154" s="348" t="inlineStr">
        <is>
          <t>Mont. R. Civ. P. 26(b)(5); Mont. Code Ann. § 33-18-251; Wilkie v. Hartford Underwriters Ins. Co., 2021 MT 221</t>
        </is>
      </c>
      <c r="E154" s="348" t="inlineStr">
        <is>
          <t>https://juddocumentservice.mt.gov/getDocByCTrackId?DocId=349851</t>
        </is>
      </c>
      <c r="F154" s="348" t="inlineStr">
        <is>
          <t>2026-06-07</t>
        </is>
      </c>
      <c r="G154" s="348" t="inlineStr">
        <is>
          <t>2027-06-07</t>
        </is>
      </c>
      <c r="H154" s="348" t="inlineStr">
        <is>
          <t>Pass</t>
        </is>
      </c>
      <c r="I154" s="348" t="inlineStr">
        <is>
          <t>Montana Supreme Court stated that neither the UTPA nor other statutory schemes require insurers to disclose policy documents, limits, or coverage information to third-party claimants before litigation. Montana also has a special time-limited demand statute with separate procedural requirements.</t>
        </is>
      </c>
    </row>
    <row r="155">
      <c r="A155" s="348" t="inlineStr">
        <is>
          <t>Montana</t>
        </is>
      </c>
      <c r="B155" s="348" t="inlineStr">
        <is>
          <t>UM/UIM Rules</t>
        </is>
      </c>
      <c r="C155" s="348" t="inlineStr">
        <is>
          <t>Statute</t>
        </is>
      </c>
      <c r="D155" s="348" t="inlineStr">
        <is>
          <t>Mont. Code Ann. § 33-23-201</t>
        </is>
      </c>
      <c r="E155" s="348" t="inlineStr">
        <is>
          <t>https://leg.mt.gov/bills/mca/title_0330/chapter_0230/part_0020/section_0010/0330-0230-0020-0010.html</t>
        </is>
      </c>
      <c r="F155" s="348" t="inlineStr">
        <is>
          <t>2026-06-07</t>
        </is>
      </c>
      <c r="G155" s="348" t="inlineStr">
        <is>
          <t>2027-06-07</t>
        </is>
      </c>
      <c r="H155" s="348" t="inlineStr">
        <is>
          <t>Pass</t>
        </is>
      </c>
      <c r="I155" s="348" t="inlineStr">
        <is>
          <t>Montana requires UM coverage to be included unless rejected by the named insured. UIM coverage is generally optional or policy-specific rather than a separate mandatory coverage.</t>
        </is>
      </c>
    </row>
    <row r="156">
      <c r="A156" s="348" t="inlineStr">
        <is>
          <t>Nebraska</t>
        </is>
      </c>
      <c r="B156" s="348" t="inlineStr">
        <is>
          <t>Bad Faith</t>
        </is>
      </c>
      <c r="C156" s="348" t="inlineStr">
        <is>
          <t>Court Rule / Case Authority</t>
        </is>
      </c>
      <c r="D156" s="348" t="inlineStr">
        <is>
          <t>Braesch v. Union Ins. Co.</t>
        </is>
      </c>
      <c r="E156" s="348" t="inlineStr">
        <is>
          <t>https://law.justia.com</t>
        </is>
      </c>
      <c r="F156" s="348" t="inlineStr">
        <is>
          <t>2026-06-07</t>
        </is>
      </c>
      <c r="G156" s="348" t="inlineStr">
        <is>
          <t>2027-06-07</t>
        </is>
      </c>
      <c r="H156" s="348" t="inlineStr">
        <is>
          <t>Pass</t>
        </is>
      </c>
      <c r="I156" s="348" t="inlineStr">
        <is>
          <t>Nebraska recognizes limited insurer bad-faith remedies.</t>
        </is>
      </c>
    </row>
    <row r="157">
      <c r="A157" s="348" t="inlineStr">
        <is>
          <t>Nebraska</t>
        </is>
      </c>
      <c r="B157" s="348" t="inlineStr">
        <is>
          <t>Claims Deadlines</t>
        </is>
      </c>
      <c r="C157" s="348" t="inlineStr">
        <is>
          <t>Administrative Code / Regulation</t>
        </is>
      </c>
      <c r="D157" s="348" t="inlineStr">
        <is>
          <t>Neb. Rev. Stat. § 44-1540; 210 Neb. Admin. Code ch. 60/61</t>
        </is>
      </c>
      <c r="E157" s="348" t="inlineStr">
        <is>
          <t>https://nebraskalegislature.gov/laws/statutes.php?statute=44-1540</t>
        </is>
      </c>
      <c r="F157" s="348" t="inlineStr">
        <is>
          <t>2026-06-07</t>
        </is>
      </c>
      <c r="G157" s="348" t="inlineStr">
        <is>
          <t>2027-06-07</t>
        </is>
      </c>
      <c r="H157" s="348" t="inlineStr">
        <is>
          <t>Pass</t>
        </is>
      </c>
      <c r="I157" s="348" t="inlineStr">
        <is>
          <t>Nebraska provides fixed form and decision timing, with broader reasonable/prompt settlement duties.</t>
        </is>
      </c>
    </row>
    <row r="158">
      <c r="A158" s="348" t="inlineStr">
        <is>
          <t>Nebraska</t>
        </is>
      </c>
      <c r="B158" s="348" t="inlineStr">
        <is>
          <t>Comparative Negligence</t>
        </is>
      </c>
      <c r="C158" s="348" t="inlineStr">
        <is>
          <t>Court Rule / Case Authority</t>
        </is>
      </c>
      <c r="D158" s="348" t="inlineStr">
        <is>
          <t>Neb. Rev. Stat. § 25-21,185.09</t>
        </is>
      </c>
      <c r="E158" s="348" t="inlineStr">
        <is>
          <t>https://nebraskalegislature.gov/laws/statutes.php?statute=25-21%2C185.09</t>
        </is>
      </c>
      <c r="F158" s="348" t="inlineStr">
        <is>
          <t>2026-06-07</t>
        </is>
      </c>
      <c r="G158" s="348" t="inlineStr">
        <is>
          <t>2027-06-07</t>
        </is>
      </c>
      <c r="H158" s="348" t="inlineStr">
        <is>
          <t>Pass</t>
        </is>
      </c>
      <c r="I158" s="348" t="inlineStr">
        <is>
          <t>Claimant is barred when claimant contributory negligence is equal to or greater than the total negligence of all persons against whom recovery is sought.</t>
        </is>
      </c>
    </row>
    <row r="159">
      <c r="A159" s="348" t="inlineStr">
        <is>
          <t>Nebraska</t>
        </is>
      </c>
      <c r="B159" s="348" t="inlineStr">
        <is>
          <t>PIP / No-Fault</t>
        </is>
      </c>
      <c r="C159" s="348" t="inlineStr">
        <is>
          <t>Court Rule / Case Authority</t>
        </is>
      </c>
      <c r="D159" s="348" t="inlineStr">
        <is>
          <t>Neb. Rev. Stat. § 60-310</t>
        </is>
      </c>
      <c r="E159" s="348" t="inlineStr">
        <is>
          <t>https://nebraskalegislature.gov/laws/statutes.php?statute=60-310</t>
        </is>
      </c>
      <c r="F159" s="348" t="inlineStr">
        <is>
          <t>2026-06-07</t>
        </is>
      </c>
      <c r="G159" s="348" t="inlineStr">
        <is>
          <t>2027-06-07</t>
        </is>
      </c>
      <c r="H159" s="348" t="inlineStr">
        <is>
          <t>Pass</t>
        </is>
      </c>
      <c r="I159" s="348" t="inlineStr">
        <is>
          <t>Traditional tort state; PIP is not required.</t>
        </is>
      </c>
    </row>
    <row r="160">
      <c r="A160" s="348" t="inlineStr">
        <is>
          <t>Nebraska</t>
        </is>
      </c>
      <c r="B160" s="348" t="inlineStr">
        <is>
          <t>Policy Disclosure</t>
        </is>
      </c>
      <c r="C160" s="348" t="inlineStr">
        <is>
          <t>Court Rule / Case Authority</t>
        </is>
      </c>
      <c r="D160" s="348" t="inlineStr">
        <is>
          <t>Neb. Ct. R. Disc. § 6-326(b)(2)</t>
        </is>
      </c>
      <c r="E160" s="348" t="inlineStr">
        <is>
          <t>https://nebraskajudicial.gov/supreme-court-rules/chapter-6-trial-courts/article-3-nebraska-court-rules-discovery-civil-cases-effective-january-1-2025/%C2%A7-6-326-general-provisions-governing-discovery</t>
        </is>
      </c>
      <c r="F160" s="348" t="inlineStr">
        <is>
          <t>2026-06-07</t>
        </is>
      </c>
      <c r="G160" s="348" t="inlineStr">
        <is>
          <t>2027-06-07</t>
        </is>
      </c>
      <c r="H160" s="348" t="inlineStr">
        <is>
          <t>Pass</t>
        </is>
      </c>
      <c r="I160" s="348" t="inlineStr">
        <is>
          <t>No Nebraska pre-suit policy-limits disclosure statute was confirmed. Nebraska discovery rules allow a party in litigation to obtain insurance agreements and ask whether coverage is disputed.</t>
        </is>
      </c>
    </row>
    <row r="161">
      <c r="A161" s="348" t="inlineStr">
        <is>
          <t>Nebraska</t>
        </is>
      </c>
      <c r="B161" s="348" t="inlineStr">
        <is>
          <t>UM/UIM Rules</t>
        </is>
      </c>
      <c r="C161" s="348" t="inlineStr">
        <is>
          <t>Court Rule / Case Authority</t>
        </is>
      </c>
      <c r="D161" s="348" t="inlineStr">
        <is>
          <t>Neb. Rev. Stat. § 44-6408</t>
        </is>
      </c>
      <c r="E161" s="348" t="inlineStr">
        <is>
          <t>https://nebraskalegislature.gov/laws/statutes.php?statute=44-6408</t>
        </is>
      </c>
      <c r="F161" s="348" t="inlineStr">
        <is>
          <t>2026-06-07</t>
        </is>
      </c>
      <c r="G161" s="348" t="inlineStr">
        <is>
          <t>2027-06-07</t>
        </is>
      </c>
      <c r="H161" s="348" t="inlineStr">
        <is>
          <t>Pass</t>
        </is>
      </c>
      <c r="I161" s="348" t="inlineStr">
        <is>
          <t>Nebraska requires uninsured and underinsured motorist coverage under the Uninsured and Underinsured Motorist Insurance Coverage Act.</t>
        </is>
      </c>
    </row>
    <row r="162">
      <c r="A162" s="348" t="inlineStr">
        <is>
          <t>Nevada</t>
        </is>
      </c>
      <c r="B162" s="348" t="inlineStr">
        <is>
          <t>Bad Faith</t>
        </is>
      </c>
      <c r="C162" s="348" t="inlineStr">
        <is>
          <t>Court Rule / Case Authority</t>
        </is>
      </c>
      <c r="D162" s="348" t="inlineStr">
        <is>
          <t>Nev. Rev. Stat. § 686A.310</t>
        </is>
      </c>
      <c r="E162" s="348" t="inlineStr">
        <is>
          <t>https://www.leg.state.nv.us</t>
        </is>
      </c>
      <c r="F162" s="348" t="inlineStr">
        <is>
          <t>2026-06-07</t>
        </is>
      </c>
      <c r="G162" s="348" t="inlineStr">
        <is>
          <t>2027-06-07</t>
        </is>
      </c>
      <c r="H162" s="348" t="inlineStr">
        <is>
          <t>Pass</t>
        </is>
      </c>
      <c r="I162" s="348" t="inlineStr">
        <is>
          <t>Nevada recognizes insurer bad-faith claims and statutory unfair practices remedies.</t>
        </is>
      </c>
    </row>
    <row r="163">
      <c r="A163" s="348" t="inlineStr">
        <is>
          <t>Nevada</t>
        </is>
      </c>
      <c r="B163" s="348" t="inlineStr">
        <is>
          <t>Claims Deadlines</t>
        </is>
      </c>
      <c r="C163" s="348" t="inlineStr">
        <is>
          <t>Administrative Code / Regulation</t>
        </is>
      </c>
      <c r="D163" s="348" t="inlineStr">
        <is>
          <t>Nev. Admin. Code §§ 686A.660, 686A.675, 686A.690</t>
        </is>
      </c>
      <c r="E163" s="348" t="inlineStr">
        <is>
          <t>https://www.leg.state.nv.us/NAC/NAC-686A.html</t>
        </is>
      </c>
      <c r="F163" s="348" t="inlineStr">
        <is>
          <t>2026-06-07</t>
        </is>
      </c>
      <c r="G163" s="348" t="inlineStr">
        <is>
          <t>2027-06-07</t>
        </is>
      </c>
      <c r="H163" s="348" t="inlineStr">
        <is>
          <t>Pass</t>
        </is>
      </c>
      <c r="I163" s="348" t="inlineStr">
        <is>
          <t>P&amp;C claims use 20-working-day acknowledgment and 30-working-day decision/payment standards.</t>
        </is>
      </c>
    </row>
    <row r="164">
      <c r="A164" s="348" t="inlineStr">
        <is>
          <t>Nevada</t>
        </is>
      </c>
      <c r="B164" s="348" t="inlineStr">
        <is>
          <t>Comparative Negligence</t>
        </is>
      </c>
      <c r="C164" s="348" t="inlineStr">
        <is>
          <t>Statute</t>
        </is>
      </c>
      <c r="D164" s="348" t="inlineStr">
        <is>
          <t>NRS § 41.141</t>
        </is>
      </c>
      <c r="E164" s="348" t="inlineStr">
        <is>
          <t>https://www.leg.state.nv.us/nrs/nrs-041.html</t>
        </is>
      </c>
      <c r="F164" s="348" t="inlineStr">
        <is>
          <t>2026-06-07</t>
        </is>
      </c>
      <c r="G164" s="348" t="inlineStr">
        <is>
          <t>2027-06-07</t>
        </is>
      </c>
      <c r="H164" s="348" t="inlineStr">
        <is>
          <t>Pass</t>
        </is>
      </c>
      <c r="I164" s="348" t="inlineStr">
        <is>
          <t>Claimant may recover when claimant comparative negligence is not greater than the negligence of the defendant or combined negligence of multiple defendants.</t>
        </is>
      </c>
    </row>
    <row r="165">
      <c r="A165" s="348" t="inlineStr">
        <is>
          <t>Nevada</t>
        </is>
      </c>
      <c r="B165" s="348" t="inlineStr">
        <is>
          <t>PIP / No-Fault</t>
        </is>
      </c>
      <c r="C165" s="348" t="inlineStr">
        <is>
          <t>Statute</t>
        </is>
      </c>
      <c r="D165" s="348" t="inlineStr">
        <is>
          <t>NRS § 485.185</t>
        </is>
      </c>
      <c r="E165" s="348" t="inlineStr">
        <is>
          <t>https://www.leg.state.nv.us/NRS/NRS-485.html#NRS485Sec185</t>
        </is>
      </c>
      <c r="F165" s="348" t="inlineStr">
        <is>
          <t>2026-06-07</t>
        </is>
      </c>
      <c r="G165" s="348" t="inlineStr">
        <is>
          <t>2027-06-07</t>
        </is>
      </c>
      <c r="H165" s="348" t="inlineStr">
        <is>
          <t>Pass</t>
        </is>
      </c>
      <c r="I165" s="348" t="inlineStr">
        <is>
          <t>Traditional tort state; PIP is not required.</t>
        </is>
      </c>
    </row>
    <row r="166">
      <c r="A166" s="348" t="inlineStr">
        <is>
          <t>Nevada</t>
        </is>
      </c>
      <c r="B166" s="348" t="inlineStr">
        <is>
          <t>Policy Disclosure</t>
        </is>
      </c>
      <c r="C166" s="348" t="inlineStr">
        <is>
          <t>Statute</t>
        </is>
      </c>
      <c r="D166" s="348" t="inlineStr">
        <is>
          <t>NRS 690B.024</t>
        </is>
      </c>
      <c r="E166" s="348" t="inlineStr">
        <is>
          <t>https://www.leg.state.nv.us/nrs/nrs-690b.html</t>
        </is>
      </c>
      <c r="F166" s="348" t="inlineStr">
        <is>
          <t>2026-06-07</t>
        </is>
      </c>
      <c r="G166" s="348" t="inlineStr">
        <is>
          <t>2027-06-07</t>
        </is>
      </c>
      <c r="H166" s="348" t="inlineStr">
        <is>
          <t>Pass</t>
        </is>
      </c>
      <c r="I166" s="348" t="inlineStr">
        <is>
          <t>Disclosure requires written authorization and is narrower than Florida-style disclosure statutes. Insurer must provide the declarations page within 5 business days and may not redact the named party or policy limits.</t>
        </is>
      </c>
    </row>
    <row r="167">
      <c r="A167" s="348" t="inlineStr">
        <is>
          <t>Nevada</t>
        </is>
      </c>
      <c r="B167" s="348" t="inlineStr">
        <is>
          <t>UM/UIM Rules</t>
        </is>
      </c>
      <c r="C167" s="348" t="inlineStr">
        <is>
          <t>Statute</t>
        </is>
      </c>
      <c r="D167" s="348" t="inlineStr">
        <is>
          <t>NRS § 687B.145</t>
        </is>
      </c>
      <c r="E167" s="348" t="inlineStr">
        <is>
          <t>https://www.leg.state.nv.us/nrs/NRS-687B.html#NRS687BSec145</t>
        </is>
      </c>
      <c r="F167" s="348" t="inlineStr">
        <is>
          <t>2026-06-07</t>
        </is>
      </c>
      <c r="G167" s="348" t="inlineStr">
        <is>
          <t>2027-06-07</t>
        </is>
      </c>
      <c r="H167" s="348" t="inlineStr">
        <is>
          <t>Pass</t>
        </is>
      </c>
      <c r="I167" s="348" t="inlineStr">
        <is>
          <t>Nevada requires insurers to offer UM/UIM coverage in an amount equal to BI liability limits; coverage may be rejected and stacking is limited by statutory/policy requirements.</t>
        </is>
      </c>
    </row>
    <row r="168">
      <c r="A168" s="348" t="inlineStr">
        <is>
          <t>New Hampshire</t>
        </is>
      </c>
      <c r="B168" s="348" t="inlineStr">
        <is>
          <t>Bad Faith</t>
        </is>
      </c>
      <c r="C168" s="348" t="inlineStr">
        <is>
          <t>Court Rule / Case Authority</t>
        </is>
      </c>
      <c r="D168" s="348" t="inlineStr">
        <is>
          <t>N.H. Rev. Stat. § 417:4</t>
        </is>
      </c>
      <c r="E168" s="348" t="inlineStr">
        <is>
          <t>https://www.gencourt.state.nh.us</t>
        </is>
      </c>
      <c r="F168" s="348" t="inlineStr">
        <is>
          <t>2026-06-07</t>
        </is>
      </c>
      <c r="G168" s="348" t="inlineStr">
        <is>
          <t>2027-06-07</t>
        </is>
      </c>
      <c r="H168" s="348" t="inlineStr">
        <is>
          <t>Pass</t>
        </is>
      </c>
      <c r="I168" s="348" t="inlineStr">
        <is>
          <t>New Hampshire provides statutory and common-law remedies for insurer misconduct.</t>
        </is>
      </c>
    </row>
    <row r="169">
      <c r="A169" s="348" t="inlineStr">
        <is>
          <t>New Hampshire</t>
        </is>
      </c>
      <c r="B169" s="348" t="inlineStr">
        <is>
          <t>Claims Deadlines</t>
        </is>
      </c>
      <c r="C169" s="348" t="inlineStr">
        <is>
          <t>Administrative Code / Regulation</t>
        </is>
      </c>
      <c r="D169" s="348" t="inlineStr">
        <is>
          <t>N.H. Code Admin. R. Ins 1001.01, 1001.02; Ins 1002.05</t>
        </is>
      </c>
      <c r="E169" s="348" t="inlineStr">
        <is>
          <t>https://www.gencourt.state.nh.us/rules/state_agencies/ins1000.html</t>
        </is>
      </c>
      <c r="F169" s="348" t="inlineStr">
        <is>
          <t>2026-06-07</t>
        </is>
      </c>
      <c r="G169" s="348" t="inlineStr">
        <is>
          <t>2027-06-07</t>
        </is>
      </c>
      <c r="H169" s="348" t="inlineStr">
        <is>
          <t>Pass</t>
        </is>
      </c>
      <c r="I169" s="348" t="inlineStr">
        <is>
          <t>P&amp;C rules require acknowledgment within 10 working days and prompt investigation.</t>
        </is>
      </c>
    </row>
    <row r="170">
      <c r="A170" s="348" t="inlineStr">
        <is>
          <t>New Hampshire</t>
        </is>
      </c>
      <c r="B170" s="348" t="inlineStr">
        <is>
          <t>Comparative Negligence</t>
        </is>
      </c>
      <c r="C170" s="348" t="inlineStr">
        <is>
          <t>Court Rule / Case Authority</t>
        </is>
      </c>
      <c r="D170" s="348" t="inlineStr">
        <is>
          <t>N.H. Rev. Stat. Ann. § 507:7-d</t>
        </is>
      </c>
      <c r="E170" s="348" t="inlineStr">
        <is>
          <t>https://law.justia.com/codes/new-hampshire/title-lii/chapter-507/section-507-7-d/</t>
        </is>
      </c>
      <c r="F170" s="348" t="inlineStr">
        <is>
          <t>2026-06-07</t>
        </is>
      </c>
      <c r="G170" s="348" t="inlineStr">
        <is>
          <t>2027-06-07</t>
        </is>
      </c>
      <c r="H170" s="348" t="inlineStr">
        <is>
          <t>Pass</t>
        </is>
      </c>
      <c r="I170" s="348" t="inlineStr">
        <is>
          <t>Claimant may recover if claimant fault is not greater than defendant fault, or aggregate defendant fault when recovery is allowed against more than one defendant.</t>
        </is>
      </c>
    </row>
    <row r="171">
      <c r="A171" s="348" t="inlineStr">
        <is>
          <t>New Hampshire</t>
        </is>
      </c>
      <c r="B171" s="348" t="inlineStr">
        <is>
          <t>PIP / No-Fault</t>
        </is>
      </c>
      <c r="C171" s="348" t="inlineStr">
        <is>
          <t>Court Rule / Case Authority</t>
        </is>
      </c>
      <c r="D171" s="348" t="inlineStr">
        <is>
          <t>N.H. Rev. Stat. § 264:16</t>
        </is>
      </c>
      <c r="E171" s="348" t="inlineStr">
        <is>
          <t>https://www.gencourt.state.nh.us/rsa/html/XXI/264/264-16.htm</t>
        </is>
      </c>
      <c r="F171" s="348" t="inlineStr">
        <is>
          <t>2026-06-07</t>
        </is>
      </c>
      <c r="G171" s="348" t="inlineStr">
        <is>
          <t>2027-06-07</t>
        </is>
      </c>
      <c r="H171" s="348" t="inlineStr">
        <is>
          <t>Pass</t>
        </is>
      </c>
      <c r="I171" s="348" t="inlineStr">
        <is>
          <t>Traditional tort state; PIP is not required. If auto insurance is purchased, medical payments coverage is required.</t>
        </is>
      </c>
    </row>
    <row r="172">
      <c r="A172" s="348" t="inlineStr">
        <is>
          <t>New Hampshire</t>
        </is>
      </c>
      <c r="B172" s="348" t="inlineStr">
        <is>
          <t>Policy Disclosure</t>
        </is>
      </c>
      <c r="C172" s="348" t="inlineStr">
        <is>
          <t>Court Rule / Case Authority</t>
        </is>
      </c>
      <c r="D172" s="348" t="inlineStr">
        <is>
          <t>N.H. Rev. Stat. § 498:2-a</t>
        </is>
      </c>
      <c r="E172" s="348" t="inlineStr">
        <is>
          <t>https://www.gencourt.state.nh.us/rsa/html/LI/498/498-2-a.htm</t>
        </is>
      </c>
      <c r="F172" s="348" t="inlineStr">
        <is>
          <t>2026-06-07</t>
        </is>
      </c>
      <c r="G172" s="348" t="inlineStr">
        <is>
          <t>2027-06-07</t>
        </is>
      </c>
      <c r="H172" s="348" t="inlineStr">
        <is>
          <t>Pass</t>
        </is>
      </c>
      <c r="I172" s="348" t="inlineStr">
        <is>
          <t>No general pre-suit disclosure requirement identified. After suit for negligence and an appearance by the defendant, the defendant or liability insurer must disclose applicable policy limits to the claimant or claimant's counsel.</t>
        </is>
      </c>
    </row>
    <row r="173">
      <c r="A173" s="348" t="inlineStr">
        <is>
          <t>New Hampshire</t>
        </is>
      </c>
      <c r="B173" s="348" t="inlineStr">
        <is>
          <t>UM/UIM Rules</t>
        </is>
      </c>
      <c r="C173" s="348" t="inlineStr">
        <is>
          <t>Court Rule / Case Authority</t>
        </is>
      </c>
      <c r="D173" s="348" t="inlineStr">
        <is>
          <t>N.H. Rev. Stat. § 264:15</t>
        </is>
      </c>
      <c r="E173" s="348" t="inlineStr">
        <is>
          <t>https://www.gencourt.state.nh.us/rsa/html/XXI/264/264-15.htm</t>
        </is>
      </c>
      <c r="F173" s="348" t="inlineStr">
        <is>
          <t>2026-06-07</t>
        </is>
      </c>
      <c r="G173" s="348" t="inlineStr">
        <is>
          <t>2027-06-07</t>
        </is>
      </c>
      <c r="H173" s="348" t="inlineStr">
        <is>
          <t>Pass</t>
        </is>
      </c>
      <c r="I173" s="348" t="inlineStr">
        <is>
          <t>New Hampshire requires UM coverage when a motor vehicle liability policy is issued, with coverage tied to the policy's liability limits and statutory requirements.</t>
        </is>
      </c>
    </row>
    <row r="174">
      <c r="A174" s="348" t="inlineStr">
        <is>
          <t>New Jersey</t>
        </is>
      </c>
      <c r="B174" s="348" t="inlineStr">
        <is>
          <t>Bad Faith</t>
        </is>
      </c>
      <c r="C174" s="348" t="inlineStr">
        <is>
          <t>Court Rule / Case Authority</t>
        </is>
      </c>
      <c r="D174" s="348" t="inlineStr">
        <is>
          <t>Pickett v. Lloyd's; Rova Farms; N.J.S.A. 17:29BB-1 to 17:29BB-3</t>
        </is>
      </c>
      <c r="E174" s="348" t="inlineStr">
        <is>
          <t>https://www.njleg.state.nj.us/bill-search/2020/S1559/bill-text?f=PL21&amp;n=388_</t>
        </is>
      </c>
      <c r="F174" s="348" t="inlineStr">
        <is>
          <t>2026-06-07</t>
        </is>
      </c>
      <c r="G174" s="348" t="inlineStr">
        <is>
          <t>2027-06-07</t>
        </is>
      </c>
      <c r="H174" s="348" t="inlineStr">
        <is>
          <t>Pass</t>
        </is>
      </c>
      <c r="I174" s="348" t="inlineStr">
        <is>
          <t>New Jersey recognizes common-law first-party and third-party bad-faith principles; the Insurance Fair Conduct Act is limited to UM/UIM claims.</t>
        </is>
      </c>
    </row>
    <row r="175">
      <c r="A175" s="348" t="inlineStr">
        <is>
          <t>New Jersey</t>
        </is>
      </c>
      <c r="B175" s="348" t="inlineStr">
        <is>
          <t>Claims Deadlines</t>
        </is>
      </c>
      <c r="C175" s="348" t="inlineStr">
        <is>
          <t>Administrative Code / Regulation</t>
        </is>
      </c>
      <c r="D175" s="348" t="inlineStr">
        <is>
          <t>N.J.A.C. 11:2-17.6(b), (c), (e); 11:2-17.7(a), (c), (e), (f)</t>
        </is>
      </c>
      <c r="E175" s="348" t="inlineStr">
        <is>
          <t>https://advance.lexis.com/container?config=00JAA5OTY5MTdjZi1lMzYxLTQxNTEtOWFkNi0xMmU5ZTViODQ2M2MKAFBvZENhdGFsb2coFSYEAfv22IKqMT9DIHrf; https://www.nj.gov/dca/codes/codreg/admin_codes_statutes.shtml</t>
        </is>
      </c>
      <c r="F175" s="348" t="inlineStr">
        <is>
          <t>2026-06-07</t>
        </is>
      </c>
      <c r="G175" s="348" t="inlineStr">
        <is>
          <t>2027-06-07</t>
        </is>
      </c>
      <c r="H175" s="348" t="inlineStr">
        <is>
          <t>Pass</t>
        </is>
      </c>
      <c r="I175" s="348" t="inlineStr">
        <is>
          <t>Official NJAC access is through the State-licensed LexisNexis public code; row uses provision-level deadlines and official access note.</t>
        </is>
      </c>
    </row>
    <row r="176">
      <c r="A176" s="348" t="inlineStr">
        <is>
          <t>New Jersey</t>
        </is>
      </c>
      <c r="B176" s="348" t="inlineStr">
        <is>
          <t>Comparative Negligence</t>
        </is>
      </c>
      <c r="C176" s="348" t="inlineStr">
        <is>
          <t>Statute</t>
        </is>
      </c>
      <c r="D176" s="348" t="inlineStr">
        <is>
          <t>N.J. Stat. Ann. § 2A:15-5.1</t>
        </is>
      </c>
      <c r="E176" s="348" t="inlineStr">
        <is>
          <t>https://lis.njleg.state.nj.us/nxt/gateway.dll/statutes%2F1%2F112%2F353</t>
        </is>
      </c>
      <c r="F176" s="348" t="inlineStr">
        <is>
          <t>2026-06-07</t>
        </is>
      </c>
      <c r="G176" s="348" t="inlineStr">
        <is>
          <t>2027-06-07</t>
        </is>
      </c>
      <c r="H176" s="348" t="inlineStr">
        <is>
          <t>Pass</t>
        </is>
      </c>
      <c r="I176" s="348" t="inlineStr">
        <is>
          <t>Claimant may recover when claimant negligence is not greater than the negligence of the person or persons against whom recovery is sought.</t>
        </is>
      </c>
    </row>
    <row r="177">
      <c r="A177" s="348" t="inlineStr">
        <is>
          <t>New Jersey</t>
        </is>
      </c>
      <c r="B177" s="348" t="inlineStr">
        <is>
          <t>PIP / No-Fault</t>
        </is>
      </c>
      <c r="C177" s="348" t="inlineStr">
        <is>
          <t>Statute</t>
        </is>
      </c>
      <c r="D177" s="348" t="inlineStr">
        <is>
          <t>N.J. Stat. §§ 39:6A-4; 39:6A-8</t>
        </is>
      </c>
      <c r="E177" s="348" t="inlineStr">
        <is>
          <t>https://lis.njleg.state.nj.us/nxt/gateway.dll?f=templates&amp;fn=default.htm&amp;vid=Publish:10.1048/Enu</t>
        </is>
      </c>
      <c r="F177" s="348" t="inlineStr">
        <is>
          <t>2026-06-07</t>
        </is>
      </c>
      <c r="G177" s="348" t="inlineStr">
        <is>
          <t>2027-06-07</t>
        </is>
      </c>
      <c r="H177" s="348" t="inlineStr">
        <is>
          <t>Pass</t>
        </is>
      </c>
      <c r="I177" s="348" t="inlineStr">
        <is>
          <t>PIP is required; lawsuit rights depend on the selected tort option.</t>
        </is>
      </c>
    </row>
    <row r="178">
      <c r="A178" s="348" t="inlineStr">
        <is>
          <t>New Jersey</t>
        </is>
      </c>
      <c r="B178" s="348" t="inlineStr">
        <is>
          <t>Policy Disclosure</t>
        </is>
      </c>
      <c r="C178" s="348" t="inlineStr">
        <is>
          <t>Statute</t>
        </is>
      </c>
      <c r="D178" s="348" t="inlineStr">
        <is>
          <t>N.J. Stat. §§ 39:6A-13.2; 39:6B-1.1</t>
        </is>
      </c>
      <c r="E178" s="348" t="inlineStr">
        <is>
          <t>https://pub.njleg.state.nj.us/Bills/2022/AL22/95_.PDF</t>
        </is>
      </c>
      <c r="F178" s="348" t="inlineStr">
        <is>
          <t>2026-06-07</t>
        </is>
      </c>
      <c r="G178" s="348" t="inlineStr">
        <is>
          <t>2027-06-07</t>
        </is>
      </c>
      <c r="H178" s="348" t="inlineStr">
        <is>
          <t>Pass</t>
        </is>
      </c>
      <c r="I178" s="348" t="inlineStr">
        <is>
          <t>Requires written disclosure to a New Jersey attorney after a qualifying request. State law has separate provisions for private passenger auto and certain other motor vehicle liability policies.</t>
        </is>
      </c>
    </row>
    <row r="179">
      <c r="A179" s="348" t="inlineStr">
        <is>
          <t>New Jersey</t>
        </is>
      </c>
      <c r="B179" s="348" t="inlineStr">
        <is>
          <t>UM/UIM Rules</t>
        </is>
      </c>
      <c r="C179" s="348" t="inlineStr">
        <is>
          <t>Statute</t>
        </is>
      </c>
      <c r="D179" s="348" t="inlineStr">
        <is>
          <t>N.J. Stat. § 17:28-1.1</t>
        </is>
      </c>
      <c r="E179" s="348" t="inlineStr">
        <is>
          <t>https://pub.njleg.state.nj.us/Bills/2018/PL19/214_.HTM</t>
        </is>
      </c>
      <c r="F179" s="348" t="inlineStr">
        <is>
          <t>2026-06-07</t>
        </is>
      </c>
      <c r="G179" s="348" t="inlineStr">
        <is>
          <t>2027-06-07</t>
        </is>
      </c>
      <c r="H179" s="348" t="inlineStr">
        <is>
          <t>Pass</t>
        </is>
      </c>
      <c r="I179" s="348" t="inlineStr">
        <is>
          <t>New Jersey requires uninsured motorist coverage and governs optional underinsured motorist coverage through statutory automobile insurance requirements and available policy selections.</t>
        </is>
      </c>
    </row>
    <row r="180">
      <c r="A180" s="348" t="inlineStr">
        <is>
          <t>New Mexico</t>
        </is>
      </c>
      <c r="B180" s="348" t="inlineStr">
        <is>
          <t>Bad Faith</t>
        </is>
      </c>
      <c r="C180" s="348" t="inlineStr">
        <is>
          <t>Statute</t>
        </is>
      </c>
      <c r="D180" s="348" t="inlineStr">
        <is>
          <t>N.M. Stat. § 59A-16-20</t>
        </is>
      </c>
      <c r="E180" s="348" t="inlineStr">
        <is>
          <t>https://nmonesource.com</t>
        </is>
      </c>
      <c r="F180" s="348" t="inlineStr">
        <is>
          <t>2026-06-07</t>
        </is>
      </c>
      <c r="G180" s="348" t="inlineStr">
        <is>
          <t>2027-06-07</t>
        </is>
      </c>
      <c r="H180" s="348" t="inlineStr">
        <is>
          <t>Pass</t>
        </is>
      </c>
      <c r="I180" s="348" t="inlineStr">
        <is>
          <t>New Mexico recognizes insurer bad-faith claims and statutory remedies.</t>
        </is>
      </c>
    </row>
    <row r="181">
      <c r="A181" s="348" t="inlineStr">
        <is>
          <t>New Mexico</t>
        </is>
      </c>
      <c r="B181" s="348" t="inlineStr">
        <is>
          <t>Claims Deadlines</t>
        </is>
      </c>
      <c r="C181" s="348" t="inlineStr">
        <is>
          <t>Statute</t>
        </is>
      </c>
      <c r="D181" s="348" t="inlineStr">
        <is>
          <t>NMSA 1978, § 59A-16-20(B)-(F); OSI Bulletin 2025-010</t>
        </is>
      </c>
      <c r="E181" s="348" t="inlineStr">
        <is>
          <t>https://www.osi.state.nm.us/en/news/bulletin-2025-010/</t>
        </is>
      </c>
      <c r="F181" s="348" t="inlineStr">
        <is>
          <t>2026-06-07</t>
        </is>
      </c>
      <c r="G181" s="348" t="inlineStr">
        <is>
          <t>2027-06-07</t>
        </is>
      </c>
      <c r="H181" s="348" t="inlineStr">
        <is>
          <t>Pass</t>
        </is>
      </c>
      <c r="I181" s="348" t="inlineStr">
        <is>
          <t>Verified: New Mexico generally uses reasonable/prompt standards; 2025 OSI bulletin confirms current unfair-claims authority.</t>
        </is>
      </c>
    </row>
    <row r="182">
      <c r="A182" s="348" t="inlineStr">
        <is>
          <t>New Mexico</t>
        </is>
      </c>
      <c r="B182" s="348" t="inlineStr">
        <is>
          <t>Comparative Negligence</t>
        </is>
      </c>
      <c r="C182" s="348" t="inlineStr">
        <is>
          <t>Court Rule / Case Authority</t>
        </is>
      </c>
      <c r="D182" s="348" t="inlineStr">
        <is>
          <t>Scott v. Rizzo, 96 N.M. 682, 634 P.2d 1234 (1981)</t>
        </is>
      </c>
      <c r="E182" s="348" t="inlineStr">
        <is>
          <t>https://law.justia.com/cases/new-mexico/supreme-court/1981/96-n-m-682.html</t>
        </is>
      </c>
      <c r="F182" s="348" t="inlineStr">
        <is>
          <t>2026-06-07</t>
        </is>
      </c>
      <c r="G182" s="348" t="inlineStr">
        <is>
          <t>2027-06-07</t>
        </is>
      </c>
      <c r="H182" s="348" t="inlineStr">
        <is>
          <t>Pass</t>
        </is>
      </c>
      <c r="I182" s="348" t="inlineStr">
        <is>
          <t>New Mexico follows pure comparative negligence under case law; damages are reduced by claimant percentage of fault.</t>
        </is>
      </c>
    </row>
    <row r="183">
      <c r="A183" s="348" t="inlineStr">
        <is>
          <t>New Mexico</t>
        </is>
      </c>
      <c r="B183" s="348" t="inlineStr">
        <is>
          <t>PIP / No-Fault</t>
        </is>
      </c>
      <c r="C183" s="348" t="inlineStr">
        <is>
          <t>Statute</t>
        </is>
      </c>
      <c r="D183" s="348" t="inlineStr">
        <is>
          <t>NMSA § 66-5-215</t>
        </is>
      </c>
      <c r="E183" s="348" t="inlineStr">
        <is>
          <t>https://nmonesource.com/nmos/nmsa/en/item/4426/index.do</t>
        </is>
      </c>
      <c r="F183" s="348" t="inlineStr">
        <is>
          <t>2026-06-07</t>
        </is>
      </c>
      <c r="G183" s="348" t="inlineStr">
        <is>
          <t>2027-06-07</t>
        </is>
      </c>
      <c r="H183" s="348" t="inlineStr">
        <is>
          <t>Pass</t>
        </is>
      </c>
      <c r="I183" s="348" t="inlineStr">
        <is>
          <t>Traditional tort state; PIP is not required.</t>
        </is>
      </c>
    </row>
    <row r="184">
      <c r="A184" s="348" t="inlineStr">
        <is>
          <t>New Mexico</t>
        </is>
      </c>
      <c r="B184" s="348" t="inlineStr">
        <is>
          <t>Policy Disclosure</t>
        </is>
      </c>
      <c r="C184" s="348" t="inlineStr">
        <is>
          <t>Court Rule / Case Authority</t>
        </is>
      </c>
      <c r="D184" s="348" t="inlineStr">
        <is>
          <t>N.M. R. Civ. P. Dist. Ct. 1-026(B)(2)</t>
        </is>
      </c>
      <c r="E184" s="348" t="inlineStr">
        <is>
          <t>https://nmonesource.com/nmos/nmra/en/item/5636/index.do</t>
        </is>
      </c>
      <c r="F184" s="348" t="inlineStr">
        <is>
          <t>2026-06-07</t>
        </is>
      </c>
      <c r="G184" s="348" t="inlineStr">
        <is>
          <t>2027-06-07</t>
        </is>
      </c>
      <c r="H184" s="348" t="inlineStr">
        <is>
          <t>Pass</t>
        </is>
      </c>
      <c r="I184" s="348" t="inlineStr">
        <is>
          <t>No identified statutory requirement for pre-suit disclosure of liability policy limits to third-party claimants. Insurance agreements are discoverable during litigation.</t>
        </is>
      </c>
    </row>
    <row r="185">
      <c r="A185" s="348" t="inlineStr">
        <is>
          <t>New Mexico</t>
        </is>
      </c>
      <c r="B185" s="348" t="inlineStr">
        <is>
          <t>UM/UIM Rules</t>
        </is>
      </c>
      <c r="C185" s="348" t="inlineStr">
        <is>
          <t>Administrative Code / Regulation</t>
        </is>
      </c>
      <c r="D185" s="348" t="inlineStr">
        <is>
          <t>N.M. Stat. § 66-5-301</t>
        </is>
      </c>
      <c r="E185" s="348" t="inlineStr">
        <is>
          <t>https://www.nmlegis.gov/Sessions/25%20Regular/bills/house/HB0097TPS.HTML</t>
        </is>
      </c>
      <c r="F185" s="348" t="inlineStr">
        <is>
          <t>2026-06-07</t>
        </is>
      </c>
      <c r="G185" s="348" t="inlineStr">
        <is>
          <t>2027-06-07</t>
        </is>
      </c>
      <c r="H185" s="348" t="inlineStr">
        <is>
          <t>Pass</t>
        </is>
      </c>
      <c r="I185" s="348" t="inlineStr">
        <is>
          <t>New Mexico requires UM coverage to be included unless rejected; UM coverage includes underinsured motorist coverage. Rejection must be knowing and documented.</t>
        </is>
      </c>
    </row>
    <row r="186">
      <c r="A186" s="348" t="inlineStr">
        <is>
          <t>New York</t>
        </is>
      </c>
      <c r="B186" s="348" t="inlineStr">
        <is>
          <t>Bad Faith</t>
        </is>
      </c>
      <c r="C186" s="348" t="inlineStr">
        <is>
          <t>Court Rule / Case Authority</t>
        </is>
      </c>
      <c r="D186" s="348" t="inlineStr">
        <is>
          <t>N.Y. Ins. Law § 2601; Pavia v. State Farm; Bi-Economy Market</t>
        </is>
      </c>
      <c r="E186" s="348" t="inlineStr">
        <is>
          <t>https://www.nysenate.gov/legislation/laws/ISC/2601</t>
        </is>
      </c>
      <c r="F186" s="348" t="inlineStr">
        <is>
          <t>2026-06-07</t>
        </is>
      </c>
      <c r="G186" s="348" t="inlineStr">
        <is>
          <t>2027-06-07</t>
        </is>
      </c>
      <c r="H186" s="348" t="inlineStr">
        <is>
          <t>Pass</t>
        </is>
      </c>
      <c r="I186" s="348" t="inlineStr">
        <is>
          <t>New York does not provide a broad standalone statutory bad-faith action; remedies are mainly contractual or limited common-law theories.</t>
        </is>
      </c>
    </row>
    <row r="187">
      <c r="A187" s="348" t="inlineStr">
        <is>
          <t>New York</t>
        </is>
      </c>
      <c r="B187" s="348" t="inlineStr">
        <is>
          <t>Claims Deadlines</t>
        </is>
      </c>
      <c r="C187" s="348" t="inlineStr">
        <is>
          <t>Administrative Code / Regulation</t>
        </is>
      </c>
      <c r="D187" s="348" t="inlineStr">
        <is>
          <t>11 NYCRR §§ 216.4(a)-(b), 216.5(a), 216.6(c), 216.6(e); DFS Circular Letter No. 11 (1991)</t>
        </is>
      </c>
      <c r="E187" s="348" t="inlineStr">
        <is>
          <t>https://govt.westlaw.com/nycrr/Document/I500ddac5cd1711dda432a117e6e0f345; https://www.dfs.ny.gov/industry_guidance/circular_letters/cl1991_11</t>
        </is>
      </c>
      <c r="F187" s="348" t="inlineStr">
        <is>
          <t>2026-06-07</t>
        </is>
      </c>
      <c r="G187" s="348" t="inlineStr">
        <is>
          <t>2027-06-07</t>
        </is>
      </c>
      <c r="H187" s="348" t="inlineStr">
        <is>
          <t>Pass</t>
        </is>
      </c>
      <c r="I187" s="348" t="inlineStr">
        <is>
          <t>Regulation 64 applies to most lines except listed exclusions; DFS circular confirms scope and motor-vehicle-specific provisions.</t>
        </is>
      </c>
    </row>
    <row r="188">
      <c r="A188" s="348" t="inlineStr">
        <is>
          <t>New York</t>
        </is>
      </c>
      <c r="B188" s="348" t="inlineStr">
        <is>
          <t>Comparative Negligence</t>
        </is>
      </c>
      <c r="C188" s="348" t="inlineStr">
        <is>
          <t>Statute</t>
        </is>
      </c>
      <c r="D188" s="348" t="inlineStr">
        <is>
          <t>N.Y. C.P.L.R. § 1411</t>
        </is>
      </c>
      <c r="E188" s="348" t="inlineStr">
        <is>
          <t>https://www.nysenate.gov/legislation/laws/CVP/1411</t>
        </is>
      </c>
      <c r="F188" s="348" t="inlineStr">
        <is>
          <t>2026-06-07</t>
        </is>
      </c>
      <c r="G188" s="348" t="inlineStr">
        <is>
          <t>2027-06-07</t>
        </is>
      </c>
      <c r="H188" s="348" t="inlineStr">
        <is>
          <t>Pass</t>
        </is>
      </c>
      <c r="I188" s="348" t="inlineStr">
        <is>
          <t>Claimant culpable conduct does not bar recovery; damages are diminished in proportion to claimant fault.</t>
        </is>
      </c>
    </row>
    <row r="189">
      <c r="A189" s="348" t="inlineStr">
        <is>
          <t>New York</t>
        </is>
      </c>
      <c r="B189" s="348" t="inlineStr">
        <is>
          <t>PIP / No-Fault</t>
        </is>
      </c>
      <c r="C189" s="348" t="inlineStr">
        <is>
          <t>Statute</t>
        </is>
      </c>
      <c r="D189" s="348" t="inlineStr">
        <is>
          <t>N.Y. Ins. Law §§ 5102; 5104</t>
        </is>
      </c>
      <c r="E189" s="348" t="inlineStr">
        <is>
          <t>https://www.nysenate.gov/legislation/laws/ISC/5102</t>
        </is>
      </c>
      <c r="F189" s="348" t="inlineStr">
        <is>
          <t>2026-06-07</t>
        </is>
      </c>
      <c r="G189" s="348" t="inlineStr">
        <is>
          <t>2027-06-07</t>
        </is>
      </c>
      <c r="H189" s="348" t="inlineStr">
        <is>
          <t>Pass</t>
        </is>
      </c>
      <c r="I189" s="348" t="inlineStr">
        <is>
          <t>Basic economic loss is generally capped at $50,000; tort claims for non-economic loss require serious injury.</t>
        </is>
      </c>
    </row>
    <row r="190">
      <c r="A190" s="348" t="inlineStr">
        <is>
          <t>New York</t>
        </is>
      </c>
      <c r="B190" s="348" t="inlineStr">
        <is>
          <t>Policy Disclosure</t>
        </is>
      </c>
      <c r="C190" s="348" t="inlineStr">
        <is>
          <t>Authority / Verify Type</t>
        </is>
      </c>
      <c r="D190" s="348" t="inlineStr">
        <is>
          <t>N.Y. C.P.L.R. 3101(f)</t>
        </is>
      </c>
      <c r="E190" s="348" t="inlineStr">
        <is>
          <t>https://www.nysenate.gov/legislation/laws/CVP/3101</t>
        </is>
      </c>
      <c r="F190" s="348" t="inlineStr">
        <is>
          <t>2026-06-07</t>
        </is>
      </c>
      <c r="G190" s="348" t="inlineStr">
        <is>
          <t>2027-06-07</t>
        </is>
      </c>
      <c r="H190" s="348" t="inlineStr">
        <is>
          <t>Pass</t>
        </is>
      </c>
      <c r="I190" s="348" t="inlineStr">
        <is>
          <t>Insurance information is discoverable in litigation; no broad pre-suit claimant policy-limits disclosure requirement was confirmed in this build.</t>
        </is>
      </c>
    </row>
    <row r="191">
      <c r="A191" s="348" t="inlineStr">
        <is>
          <t>New York</t>
        </is>
      </c>
      <c r="B191" s="348" t="inlineStr">
        <is>
          <t>UM/UIM Rules</t>
        </is>
      </c>
      <c r="C191" s="348" t="inlineStr">
        <is>
          <t>Statute</t>
        </is>
      </c>
      <c r="D191" s="348" t="inlineStr">
        <is>
          <t>N.Y. Ins. Law § 3420(f)</t>
        </is>
      </c>
      <c r="E191" s="348" t="inlineStr">
        <is>
          <t>https://www.nysenate.gov/legislation/laws/ISC/3420</t>
        </is>
      </c>
      <c r="F191" s="348" t="inlineStr">
        <is>
          <t>2026-06-07</t>
        </is>
      </c>
      <c r="G191" s="348" t="inlineStr">
        <is>
          <t>2027-06-07</t>
        </is>
      </c>
      <c r="H191" s="348" t="inlineStr">
        <is>
          <t>Pass</t>
        </is>
      </c>
      <c r="I191" s="348" t="inlineStr">
        <is>
          <t>New York requires uninsured motorist protection and governs supplementary uninsured/underinsured motorist coverage through Insurance Law § 3420(f).</t>
        </is>
      </c>
    </row>
    <row r="192">
      <c r="A192" s="348" t="inlineStr">
        <is>
          <t>North Carolina</t>
        </is>
      </c>
      <c r="B192" s="348" t="inlineStr">
        <is>
          <t>Bad Faith</t>
        </is>
      </c>
      <c r="C192" s="348" t="inlineStr">
        <is>
          <t>Statute</t>
        </is>
      </c>
      <c r="D192" s="348" t="inlineStr">
        <is>
          <t>N.C. Gen. Stat. § 58-63-15; N.C. Gen. Stat. ch. 75</t>
        </is>
      </c>
      <c r="E192" s="348" t="inlineStr">
        <is>
          <t>https://www.ncleg.gov/EnactedLegislation/Statutes/HTML/BySection/Chapter_58/GS_58-63-15.html</t>
        </is>
      </c>
      <c r="F192" s="348" t="inlineStr">
        <is>
          <t>2026-06-07</t>
        </is>
      </c>
      <c r="G192" s="348" t="inlineStr">
        <is>
          <t>2027-06-07</t>
        </is>
      </c>
      <c r="H192" s="348" t="inlineStr">
        <is>
          <t>Pass</t>
        </is>
      </c>
      <c r="I192" s="348" t="inlineStr">
        <is>
          <t>North Carolina allows insured-side bad-faith and unfair-practice theories in some cases; adverse third-party claimants generally cannot sue the insurer directly.</t>
        </is>
      </c>
    </row>
    <row r="193">
      <c r="A193" s="348" t="inlineStr">
        <is>
          <t>North Carolina</t>
        </is>
      </c>
      <c r="B193" s="348" t="inlineStr">
        <is>
          <t>Claims Deadlines</t>
        </is>
      </c>
      <c r="C193" s="348" t="inlineStr">
        <is>
          <t>Statute</t>
        </is>
      </c>
      <c r="D193" s="348" t="inlineStr">
        <is>
          <t>N.C. Gen. Stat. § 58-63-15(11); 11 NCAC 04 .0421</t>
        </is>
      </c>
      <c r="E193" s="348" t="inlineStr">
        <is>
          <t>https://reports.oah.state.nc.us/ncac.asp?folderName=%5CTitle%2011%20-%20Insurance%5CChapter%2004%20-%20Consumer%20Services%20Division</t>
        </is>
      </c>
      <c r="F193" s="348" t="inlineStr">
        <is>
          <t>2026-06-07</t>
        </is>
      </c>
      <c r="G193" s="348" t="inlineStr">
        <is>
          <t>2027-06-07</t>
        </is>
      </c>
      <c r="H193" s="348" t="inlineStr">
        <is>
          <t>Pass</t>
        </is>
      </c>
      <c r="I193" s="348" t="inlineStr">
        <is>
          <t>General unfair-claims law uses prompt/reasonable standards; motor-vehicle payments have a fixed post-settlement deadline.</t>
        </is>
      </c>
    </row>
    <row r="194">
      <c r="A194" s="348" t="inlineStr">
        <is>
          <t>North Carolina</t>
        </is>
      </c>
      <c r="B194" s="348" t="inlineStr">
        <is>
          <t>Comparative Negligence</t>
        </is>
      </c>
      <c r="C194" s="348" t="inlineStr">
        <is>
          <t>Court Rule / Case Authority</t>
        </is>
      </c>
      <c r="D194" s="348" t="inlineStr">
        <is>
          <t>Miller v. Miller, 273 N.C. 228 (1968)</t>
        </is>
      </c>
      <c r="E194" s="348" t="inlineStr">
        <is>
          <t>https://law.justia.com/cases/north-carolina/supreme-court/1968/278-0.html</t>
        </is>
      </c>
      <c r="F194" s="348" t="inlineStr">
        <is>
          <t>2026-06-07</t>
        </is>
      </c>
      <c r="G194" s="348" t="inlineStr">
        <is>
          <t>2027-06-07</t>
        </is>
      </c>
      <c r="H194" s="348" t="inlineStr">
        <is>
          <t>Pass</t>
        </is>
      </c>
      <c r="I194" s="348" t="inlineStr">
        <is>
          <t>North Carolina retains contributory negligence as a complete bar to ordinary negligence recovery, subject to recognized exceptions such as last clear chance.</t>
        </is>
      </c>
    </row>
    <row r="195">
      <c r="A195" s="348" t="inlineStr">
        <is>
          <t>North Carolina</t>
        </is>
      </c>
      <c r="B195" s="348" t="inlineStr">
        <is>
          <t>PIP / No-Fault</t>
        </is>
      </c>
      <c r="C195" s="348" t="inlineStr">
        <is>
          <t>Statute</t>
        </is>
      </c>
      <c r="D195" s="348" t="inlineStr">
        <is>
          <t>N.C. Gen. Stat. § 20-279.21</t>
        </is>
      </c>
      <c r="E195" s="348" t="inlineStr">
        <is>
          <t>https://www.ncleg.gov/EnactedLegislation/Statutes/HTML/BySection/Chapter_20/GS_20-279.21.html</t>
        </is>
      </c>
      <c r="F195" s="348" t="inlineStr">
        <is>
          <t>2026-06-07</t>
        </is>
      </c>
      <c r="G195" s="348" t="inlineStr">
        <is>
          <t>2027-06-07</t>
        </is>
      </c>
      <c r="H195" s="348" t="inlineStr">
        <is>
          <t>Pass</t>
        </is>
      </c>
      <c r="I195" s="348" t="inlineStr">
        <is>
          <t>Traditional tort state; PIP is not required.</t>
        </is>
      </c>
    </row>
    <row r="196">
      <c r="A196" s="348" t="inlineStr">
        <is>
          <t>North Carolina</t>
        </is>
      </c>
      <c r="B196" s="348" t="inlineStr">
        <is>
          <t>Policy Disclosure</t>
        </is>
      </c>
      <c r="C196" s="348" t="inlineStr">
        <is>
          <t>Statute</t>
        </is>
      </c>
      <c r="D196" s="348" t="inlineStr">
        <is>
          <t>N.C. Gen. Stat. § 58-3-33</t>
        </is>
      </c>
      <c r="E196" s="348" t="inlineStr">
        <is>
          <t>https://www.ncleg.gov/EnactedLegislation/Statutes/PDF/BySection/Chapter_58/GS_58-3-33.pdf</t>
        </is>
      </c>
      <c r="F196" s="348" t="inlineStr">
        <is>
          <t>2026-06-07</t>
        </is>
      </c>
      <c r="G196" s="348" t="inlineStr">
        <is>
          <t>2027-06-07</t>
        </is>
      </c>
      <c r="H196" s="348" t="inlineStr">
        <is>
          <t>Pass</t>
        </is>
      </c>
      <c r="I196" s="348" t="inlineStr">
        <is>
          <t>Requires disclosure after a qualifying written request and required supporting materials; does not apply to medical-malpractice claims or claims where the insurer intends to deny coverage.</t>
        </is>
      </c>
    </row>
    <row r="197">
      <c r="A197" s="348" t="inlineStr">
        <is>
          <t>North Carolina</t>
        </is>
      </c>
      <c r="B197" s="348" t="inlineStr">
        <is>
          <t>UM/UIM Rules</t>
        </is>
      </c>
      <c r="C197" s="348" t="inlineStr">
        <is>
          <t>Statute</t>
        </is>
      </c>
      <c r="D197" s="348" t="inlineStr">
        <is>
          <t>N.C. Gen. Stat. § 20-279.21</t>
        </is>
      </c>
      <c r="E197" s="348" t="inlineStr">
        <is>
          <t>https://www.ncleg.gov/EnactedLegislation/Statutes/PDF/BySection/Chapter_20/GS_20-279.21.pdf</t>
        </is>
      </c>
      <c r="F197" s="348" t="inlineStr">
        <is>
          <t>2026-06-07</t>
        </is>
      </c>
      <c r="G197" s="348" t="inlineStr">
        <is>
          <t>2027-06-07</t>
        </is>
      </c>
      <c r="H197" s="348" t="inlineStr">
        <is>
          <t>Pass</t>
        </is>
      </c>
      <c r="I197" s="348" t="inlineStr">
        <is>
          <t>North Carolina requires UM/UIM coverage as part of motor vehicle liability policies under G.S. 20-279.21.</t>
        </is>
      </c>
    </row>
    <row r="198">
      <c r="A198" s="348" t="inlineStr">
        <is>
          <t>North Dakota</t>
        </is>
      </c>
      <c r="B198" s="348" t="inlineStr">
        <is>
          <t>Bad Faith</t>
        </is>
      </c>
      <c r="C198" s="348" t="inlineStr">
        <is>
          <t>Court Rule / Case Authority</t>
        </is>
      </c>
      <c r="D198" s="348" t="inlineStr">
        <is>
          <t>Corwin Chrysler-Plymouth v. Westchester</t>
        </is>
      </c>
      <c r="E198" s="348" t="inlineStr">
        <is>
          <t>https://law.justia.com</t>
        </is>
      </c>
      <c r="F198" s="348" t="inlineStr">
        <is>
          <t>2026-06-07</t>
        </is>
      </c>
      <c r="G198" s="348" t="inlineStr">
        <is>
          <t>2027-06-07</t>
        </is>
      </c>
      <c r="H198" s="348" t="inlineStr">
        <is>
          <t>Pass</t>
        </is>
      </c>
      <c r="I198" s="348" t="inlineStr">
        <is>
          <t>North Dakota recognizes limited insurer bad-faith theories.</t>
        </is>
      </c>
    </row>
    <row r="199">
      <c r="A199" s="348" t="inlineStr">
        <is>
          <t>North Dakota</t>
        </is>
      </c>
      <c r="B199" s="348" t="inlineStr">
        <is>
          <t>Claims Deadlines</t>
        </is>
      </c>
      <c r="C199" s="348" t="inlineStr">
        <is>
          <t>Statute</t>
        </is>
      </c>
      <c r="D199" s="348" t="inlineStr">
        <is>
          <t>N.D.C.C. § 26.1-04-03(9); § 26.1-36-37.1</t>
        </is>
      </c>
      <c r="E199" s="348" t="inlineStr">
        <is>
          <t>https://ndlegis.gov/cencode/t26-1c04.pdf</t>
        </is>
      </c>
      <c r="F199" s="348" t="inlineStr">
        <is>
          <t>2026-06-07</t>
        </is>
      </c>
      <c r="G199" s="348" t="inlineStr">
        <is>
          <t>2027-06-07</t>
        </is>
      </c>
      <c r="H199" s="348" t="inlineStr">
        <is>
          <t>Pass</t>
        </is>
      </c>
      <c r="I199" s="348" t="inlineStr">
        <is>
          <t>Verified: general claim rules use reasonable/prompt standards; health proof-of-loss claims have specific timing.</t>
        </is>
      </c>
    </row>
    <row r="200">
      <c r="A200" s="348" t="inlineStr">
        <is>
          <t>North Dakota</t>
        </is>
      </c>
      <c r="B200" s="348" t="inlineStr">
        <is>
          <t>Comparative Negligence</t>
        </is>
      </c>
      <c r="C200" s="348" t="inlineStr">
        <is>
          <t>Statute</t>
        </is>
      </c>
      <c r="D200" s="348" t="inlineStr">
        <is>
          <t>N.D. Cent. Code § 32-03.2-02</t>
        </is>
      </c>
      <c r="E200" s="348" t="inlineStr">
        <is>
          <t>https://ndlegis.gov/cencode/t32c03-2.pdf</t>
        </is>
      </c>
      <c r="F200" s="348" t="inlineStr">
        <is>
          <t>2026-06-07</t>
        </is>
      </c>
      <c r="G200" s="348" t="inlineStr">
        <is>
          <t>2027-06-07</t>
        </is>
      </c>
      <c r="H200" s="348" t="inlineStr">
        <is>
          <t>Pass</t>
        </is>
      </c>
      <c r="I200" s="348" t="inlineStr">
        <is>
          <t>Claimant is barred when claimant fault is as great as the combined fault of all other persons who contributed to the injury.</t>
        </is>
      </c>
    </row>
    <row r="201">
      <c r="A201" s="348" t="inlineStr">
        <is>
          <t>North Dakota</t>
        </is>
      </c>
      <c r="B201" s="348" t="inlineStr">
        <is>
          <t>PIP / No-Fault</t>
        </is>
      </c>
      <c r="C201" s="348" t="inlineStr">
        <is>
          <t>Statute</t>
        </is>
      </c>
      <c r="D201" s="348" t="inlineStr">
        <is>
          <t>N.D.C.C. ch. 26.1-41</t>
        </is>
      </c>
      <c r="E201" s="348" t="inlineStr">
        <is>
          <t>https://ndlegis.gov/cencode/t26-1c41.pdf</t>
        </is>
      </c>
      <c r="F201" s="348" t="inlineStr">
        <is>
          <t>2026-06-07</t>
        </is>
      </c>
      <c r="G201" s="348" t="inlineStr">
        <is>
          <t>2027-06-07</t>
        </is>
      </c>
      <c r="H201" s="348" t="inlineStr">
        <is>
          <t>Pass</t>
        </is>
      </c>
      <c r="I201" s="348" t="inlineStr">
        <is>
          <t>North Dakota is a no-fault state with mandatory basic no-fault benefits and statutory tort limitations.</t>
        </is>
      </c>
    </row>
    <row r="202">
      <c r="A202" s="348" t="inlineStr">
        <is>
          <t>North Dakota</t>
        </is>
      </c>
      <c r="B202" s="348" t="inlineStr">
        <is>
          <t>Policy Disclosure</t>
        </is>
      </c>
      <c r="C202" s="348" t="inlineStr">
        <is>
          <t>Court Rule / Case Authority</t>
        </is>
      </c>
      <c r="D202" s="348" t="inlineStr">
        <is>
          <t>N.D.R.Civ.P. 26(b)(2)</t>
        </is>
      </c>
      <c r="E202" s="348" t="inlineStr">
        <is>
          <t>https://www.ndcourts.gov/legal-resources/rules/ndrcivp/26</t>
        </is>
      </c>
      <c r="F202" s="348" t="inlineStr">
        <is>
          <t>2026-06-07</t>
        </is>
      </c>
      <c r="G202" s="348" t="inlineStr">
        <is>
          <t>2027-06-07</t>
        </is>
      </c>
      <c r="H202" s="348" t="inlineStr">
        <is>
          <t>Pass</t>
        </is>
      </c>
      <c r="I202" s="348" t="inlineStr">
        <is>
          <t>No identified statutory requirement for pre-suit disclosure of liability policy limits to third-party claimants. Insurance agreements are discoverable during litigation.</t>
        </is>
      </c>
    </row>
    <row r="203">
      <c r="A203" s="348" t="inlineStr">
        <is>
          <t>North Dakota</t>
        </is>
      </c>
      <c r="B203" s="348" t="inlineStr">
        <is>
          <t>UM/UIM Rules</t>
        </is>
      </c>
      <c r="C203" s="348" t="inlineStr">
        <is>
          <t>Statute</t>
        </is>
      </c>
      <c r="D203" s="348" t="inlineStr">
        <is>
          <t>N.D.C.C. §§ 26.1-40-15.1 to 26.1-40-15.7</t>
        </is>
      </c>
      <c r="E203" s="348" t="inlineStr">
        <is>
          <t>https://ndlegis.gov/cencode/t26-1c40.pdf</t>
        </is>
      </c>
      <c r="F203" s="348" t="inlineStr">
        <is>
          <t>2026-06-07</t>
        </is>
      </c>
      <c r="G203" s="348" t="inlineStr">
        <is>
          <t>2027-06-07</t>
        </is>
      </c>
      <c r="H203" s="348" t="inlineStr">
        <is>
          <t>Pass</t>
        </is>
      </c>
      <c r="I203" s="348" t="inlineStr">
        <is>
          <t>North Dakota requires UM and UIM coverage; the Insurance Department lists UM at 25/50 and UIM equal to UM. Stacking is generally not permitted.</t>
        </is>
      </c>
    </row>
    <row r="204">
      <c r="A204" s="348" t="inlineStr">
        <is>
          <t>Ohio</t>
        </is>
      </c>
      <c r="B204" s="348" t="inlineStr">
        <is>
          <t>Bad Faith</t>
        </is>
      </c>
      <c r="C204" s="348" t="inlineStr">
        <is>
          <t>Court Rule / Case Authority</t>
        </is>
      </c>
      <c r="D204" s="348" t="inlineStr">
        <is>
          <t>Hoskins v. Aetna Life Ins. Co.</t>
        </is>
      </c>
      <c r="E204" s="348" t="inlineStr">
        <is>
          <t>https://law.justia.com</t>
        </is>
      </c>
      <c r="F204" s="348" t="inlineStr">
        <is>
          <t>2026-06-07</t>
        </is>
      </c>
      <c r="G204" s="348" t="inlineStr">
        <is>
          <t>2027-06-07</t>
        </is>
      </c>
      <c r="H204" s="348" t="inlineStr">
        <is>
          <t>Pass</t>
        </is>
      </c>
      <c r="I204" s="348" t="inlineStr">
        <is>
          <t>Ohio recognizes common-law insurer bad-faith claims.</t>
        </is>
      </c>
    </row>
    <row r="205">
      <c r="A205" s="348" t="inlineStr">
        <is>
          <t>Ohio</t>
        </is>
      </c>
      <c r="B205" s="348" t="inlineStr">
        <is>
          <t>Claims Deadlines</t>
        </is>
      </c>
      <c r="C205" s="348" t="inlineStr">
        <is>
          <t>Administrative Code / Regulation</t>
        </is>
      </c>
      <c r="D205" s="348" t="inlineStr">
        <is>
          <t>Ohio Admin. Code 3901-1-54(F), (G), (H)</t>
        </is>
      </c>
      <c r="E205" s="348" t="inlineStr">
        <is>
          <t>https://codes.ohio.gov/ohio-administrative-code/rule-3901-1-54</t>
        </is>
      </c>
      <c r="F205" s="348" t="inlineStr">
        <is>
          <t>2026-06-07</t>
        </is>
      </c>
      <c r="G205" s="348" t="inlineStr">
        <is>
          <t>2027-06-07</t>
        </is>
      </c>
      <c r="H205" s="348" t="inlineStr">
        <is>
          <t>Pass</t>
        </is>
      </c>
      <c r="I205" s="348" t="inlineStr">
        <is>
          <t>P&amp;C insurers must acknowledge within 15 days and act on proof of loss within rule deadlines.</t>
        </is>
      </c>
    </row>
    <row r="206">
      <c r="A206" s="348" t="inlineStr">
        <is>
          <t>Ohio</t>
        </is>
      </c>
      <c r="B206" s="348" t="inlineStr">
        <is>
          <t>Comparative Negligence</t>
        </is>
      </c>
      <c r="C206" s="348" t="inlineStr">
        <is>
          <t>Court Rule / Case Authority</t>
        </is>
      </c>
      <c r="D206" s="348" t="inlineStr">
        <is>
          <t>Ohio Rev. Code § 2315.33</t>
        </is>
      </c>
      <c r="E206" s="348" t="inlineStr">
        <is>
          <t>https://codes.ohio.gov/ohio-revised-code/section-2315.33</t>
        </is>
      </c>
      <c r="F206" s="348" t="inlineStr">
        <is>
          <t>2026-06-07</t>
        </is>
      </c>
      <c r="G206" s="348" t="inlineStr">
        <is>
          <t>2027-06-07</t>
        </is>
      </c>
      <c r="H206" s="348" t="inlineStr">
        <is>
          <t>Pass</t>
        </is>
      </c>
      <c r="I206" s="348" t="inlineStr">
        <is>
          <t>Damages are reduced by claimant percentage of tortious conduct; claimant fault greater than 50% bars recovery under Ohio comparative fault rules.</t>
        </is>
      </c>
    </row>
    <row r="207">
      <c r="A207" s="348" t="inlineStr">
        <is>
          <t>Ohio</t>
        </is>
      </c>
      <c r="B207" s="348" t="inlineStr">
        <is>
          <t>PIP / No-Fault</t>
        </is>
      </c>
      <c r="C207" s="348" t="inlineStr">
        <is>
          <t>Court Rule / Case Authority</t>
        </is>
      </c>
      <c r="D207" s="348" t="inlineStr">
        <is>
          <t>Ohio Rev. Code § 4509.101</t>
        </is>
      </c>
      <c r="E207" s="348" t="inlineStr">
        <is>
          <t>https://codes.ohio.gov/ohio-revised-code/section-4509.101</t>
        </is>
      </c>
      <c r="F207" s="348" t="inlineStr">
        <is>
          <t>2026-06-07</t>
        </is>
      </c>
      <c r="G207" s="348" t="inlineStr">
        <is>
          <t>2027-06-07</t>
        </is>
      </c>
      <c r="H207" s="348" t="inlineStr">
        <is>
          <t>Pass</t>
        </is>
      </c>
      <c r="I207" s="348" t="inlineStr">
        <is>
          <t>Traditional tort state; PIP is not required.</t>
        </is>
      </c>
    </row>
    <row r="208">
      <c r="A208" s="348" t="inlineStr">
        <is>
          <t>Ohio</t>
        </is>
      </c>
      <c r="B208" s="348" t="inlineStr">
        <is>
          <t>Policy Disclosure</t>
        </is>
      </c>
      <c r="C208" s="348" t="inlineStr">
        <is>
          <t>Court Rule / Case Authority</t>
        </is>
      </c>
      <c r="D208" s="348" t="inlineStr">
        <is>
          <t>Ohio Civ.R. 26(B)(8)</t>
        </is>
      </c>
      <c r="E208" s="348" t="inlineStr">
        <is>
          <t>https://www.supremecourt.ohio.gov/docs/LegalResources/Rules/civil/CivilProcedure.pdf</t>
        </is>
      </c>
      <c r="F208" s="348" t="inlineStr">
        <is>
          <t>2026-06-07</t>
        </is>
      </c>
      <c r="G208" s="348" t="inlineStr">
        <is>
          <t>2027-06-07</t>
        </is>
      </c>
      <c r="H208" s="348" t="inlineStr">
        <is>
          <t>Pass</t>
        </is>
      </c>
      <c r="I208" s="348" t="inlineStr">
        <is>
          <t>No identified statutory requirement for pre-suit disclosure of liability policy limits to third-party claimants. Insurance agreements are discoverable during litigation.</t>
        </is>
      </c>
    </row>
    <row r="209">
      <c r="A209" s="348" t="inlineStr">
        <is>
          <t>Ohio</t>
        </is>
      </c>
      <c r="B209" s="348" t="inlineStr">
        <is>
          <t>UM/UIM Rules</t>
        </is>
      </c>
      <c r="C209" s="348" t="inlineStr">
        <is>
          <t>Court Rule / Case Authority</t>
        </is>
      </c>
      <c r="D209" s="348" t="inlineStr">
        <is>
          <t>Ohio Rev. Code § 3937.18</t>
        </is>
      </c>
      <c r="E209" s="348" t="inlineStr">
        <is>
          <t>https://codes.ohio.gov/ohio-revised-code/section-3937.18</t>
        </is>
      </c>
      <c r="F209" s="348" t="inlineStr">
        <is>
          <t>2026-06-07</t>
        </is>
      </c>
      <c r="G209" s="348" t="inlineStr">
        <is>
          <t>2027-06-07</t>
        </is>
      </c>
      <c r="H209" s="348" t="inlineStr">
        <is>
          <t>Pass</t>
        </is>
      </c>
      <c r="I209" s="348" t="inlineStr">
        <is>
          <t>Ohio law governs UM/UIM coverage when provided, but coverage is not generally mandatory for private passenger auto policies.</t>
        </is>
      </c>
    </row>
    <row r="210">
      <c r="A210" s="348" t="inlineStr">
        <is>
          <t>Oklahoma</t>
        </is>
      </c>
      <c r="B210" s="348" t="inlineStr">
        <is>
          <t>Bad Faith</t>
        </is>
      </c>
      <c r="C210" s="348" t="inlineStr">
        <is>
          <t>Court Rule / Case Authority</t>
        </is>
      </c>
      <c r="D210" s="348" t="inlineStr">
        <is>
          <t>Christian v. American Home Assurance Co.</t>
        </is>
      </c>
      <c r="E210" s="348" t="inlineStr">
        <is>
          <t>https://law.justia.com</t>
        </is>
      </c>
      <c r="F210" s="348" t="inlineStr">
        <is>
          <t>2026-06-07</t>
        </is>
      </c>
      <c r="G210" s="348" t="inlineStr">
        <is>
          <t>2027-06-07</t>
        </is>
      </c>
      <c r="H210" s="348" t="inlineStr">
        <is>
          <t>Pass</t>
        </is>
      </c>
      <c r="I210" s="348" t="inlineStr">
        <is>
          <t>Oklahoma recognizes the tort of insurer bad faith.</t>
        </is>
      </c>
    </row>
    <row r="211">
      <c r="A211" s="348" t="inlineStr">
        <is>
          <t>Oklahoma</t>
        </is>
      </c>
      <c r="B211" s="348" t="inlineStr">
        <is>
          <t>Claims Deadlines</t>
        </is>
      </c>
      <c r="C211" s="348" t="inlineStr">
        <is>
          <t>Administrative Code / Regulation</t>
        </is>
      </c>
      <c r="D211" s="348" t="inlineStr">
        <is>
          <t>Okla. Admin. Code 365:15-3-5 to 365:15-3-8</t>
        </is>
      </c>
      <c r="E211" s="348" t="inlineStr">
        <is>
          <t>https://www.oid.ok.gov/wp-content/uploads/2019/10/18-11-07-C15S3.pdf</t>
        </is>
      </c>
      <c r="F211" s="348" t="inlineStr">
        <is>
          <t>2026-06-07</t>
        </is>
      </c>
      <c r="G211" s="348" t="inlineStr">
        <is>
          <t>2027-06-07</t>
        </is>
      </c>
      <c r="H211" s="348" t="inlineStr">
        <is>
          <t>Pass</t>
        </is>
      </c>
      <c r="I211" s="348" t="inlineStr">
        <is>
          <t>P&amp;C insurers must acknowledge within 30 business days and provide delay updates when unresolved.</t>
        </is>
      </c>
    </row>
    <row r="212">
      <c r="A212" s="348" t="inlineStr">
        <is>
          <t>Oklahoma</t>
        </is>
      </c>
      <c r="B212" s="348" t="inlineStr">
        <is>
          <t>Comparative Negligence</t>
        </is>
      </c>
      <c r="C212" s="348" t="inlineStr">
        <is>
          <t>Statute</t>
        </is>
      </c>
      <c r="D212" s="348" t="inlineStr">
        <is>
          <t>Okla. Stat. tit. 23, § 13</t>
        </is>
      </c>
      <c r="E212" s="348" t="inlineStr">
        <is>
          <t>https://oksenate.gov/sites/default/files/2019-12/os23.pdf</t>
        </is>
      </c>
      <c r="F212" s="348" t="inlineStr">
        <is>
          <t>2026-06-07</t>
        </is>
      </c>
      <c r="G212" s="348" t="inlineStr">
        <is>
          <t>2027-06-07</t>
        </is>
      </c>
      <c r="H212" s="348" t="inlineStr">
        <is>
          <t>Pass</t>
        </is>
      </c>
      <c r="I212" s="348" t="inlineStr">
        <is>
          <t>Claimant may recover unless claimant negligence is of greater degree than defendant negligence or combined negligence of persons causing the damage.</t>
        </is>
      </c>
    </row>
    <row r="213">
      <c r="A213" s="348" t="inlineStr">
        <is>
          <t>Oklahoma</t>
        </is>
      </c>
      <c r="B213" s="348" t="inlineStr">
        <is>
          <t>PIP / No-Fault</t>
        </is>
      </c>
      <c r="C213" s="348" t="inlineStr">
        <is>
          <t>Statute</t>
        </is>
      </c>
      <c r="D213" s="348" t="inlineStr">
        <is>
          <t>Okla. Stat. tit. 47 § 7-600</t>
        </is>
      </c>
      <c r="E213" s="348" t="inlineStr">
        <is>
          <t>https://www.oscn.net/applications/oscn/DeliverDocument.asp?CiteID=82366</t>
        </is>
      </c>
      <c r="F213" s="348" t="inlineStr">
        <is>
          <t>2026-06-07</t>
        </is>
      </c>
      <c r="G213" s="348" t="inlineStr">
        <is>
          <t>2027-06-07</t>
        </is>
      </c>
      <c r="H213" s="348" t="inlineStr">
        <is>
          <t>Pass</t>
        </is>
      </c>
      <c r="I213" s="348" t="inlineStr">
        <is>
          <t>Traditional tort state; PIP is not required.</t>
        </is>
      </c>
    </row>
    <row r="214">
      <c r="A214" s="348" t="inlineStr">
        <is>
          <t>Oklahoma</t>
        </is>
      </c>
      <c r="B214" s="348" t="inlineStr">
        <is>
          <t>Policy Disclosure</t>
        </is>
      </c>
      <c r="C214" s="348" t="inlineStr">
        <is>
          <t>Statute</t>
        </is>
      </c>
      <c r="D214" s="348" t="inlineStr">
        <is>
          <t>Okla. Stat. tit. 12, § 3226(B)(2)(b)</t>
        </is>
      </c>
      <c r="E214" s="348" t="inlineStr">
        <is>
          <t>https://www.oscn.net/applications/oscn/DeliverDocument.asp?CiteID=440624</t>
        </is>
      </c>
      <c r="F214" s="348" t="inlineStr">
        <is>
          <t>2026-06-07</t>
        </is>
      </c>
      <c r="G214" s="348" t="inlineStr">
        <is>
          <t>2027-06-07</t>
        </is>
      </c>
      <c r="H214" s="348" t="inlineStr">
        <is>
          <t>Pass</t>
        </is>
      </c>
      <c r="I214" s="348" t="inlineStr">
        <is>
          <t>No identified statutory requirement for pre-suit disclosure of liability policy limits to third-party claimants. Insurance agreements are discoverable during litigation.</t>
        </is>
      </c>
    </row>
    <row r="215">
      <c r="A215" s="348" t="inlineStr">
        <is>
          <t>Oklahoma</t>
        </is>
      </c>
      <c r="B215" s="348" t="inlineStr">
        <is>
          <t>UM/UIM Rules</t>
        </is>
      </c>
      <c r="C215" s="348" t="inlineStr">
        <is>
          <t>Statute</t>
        </is>
      </c>
      <c r="D215" s="348" t="inlineStr">
        <is>
          <t>36 O.S. § 3636</t>
        </is>
      </c>
      <c r="E215" s="348" t="inlineStr">
        <is>
          <t>https://law.justia.com/codes/oklahoma/title-36/section-36-3636/</t>
        </is>
      </c>
      <c r="F215" s="348" t="inlineStr">
        <is>
          <t>2026-06-07</t>
        </is>
      </c>
      <c r="G215" s="348" t="inlineStr">
        <is>
          <t>2027-06-07</t>
        </is>
      </c>
      <c r="H215" s="348" t="inlineStr">
        <is>
          <t>Pass</t>
        </is>
      </c>
      <c r="I215" s="348" t="inlineStr">
        <is>
          <t>Oklahoma UM coverage must be included unless rejected in writing. The statutory UM framework includes protection for underinsured situations.</t>
        </is>
      </c>
    </row>
    <row r="216">
      <c r="A216" s="348" t="inlineStr">
        <is>
          <t>Oregon</t>
        </is>
      </c>
      <c r="B216" s="348" t="inlineStr">
        <is>
          <t>Bad Faith</t>
        </is>
      </c>
      <c r="C216" s="348" t="inlineStr">
        <is>
          <t>Administrative Code / Regulation</t>
        </is>
      </c>
      <c r="D216" s="348" t="inlineStr">
        <is>
          <t>Or. Rev. Stat. § 746.230</t>
        </is>
      </c>
      <c r="E216" s="348" t="inlineStr">
        <is>
          <t>https://www.oregonlegislature.gov</t>
        </is>
      </c>
      <c r="F216" s="348" t="inlineStr">
        <is>
          <t>2026-06-07</t>
        </is>
      </c>
      <c r="G216" s="348" t="inlineStr">
        <is>
          <t>2027-06-07</t>
        </is>
      </c>
      <c r="H216" s="348" t="inlineStr">
        <is>
          <t>Pass</t>
        </is>
      </c>
      <c r="I216" s="348" t="inlineStr">
        <is>
          <t>Oregon generally relies on statutory unfair-claims remedies rather than a standalone insurer bad-faith tort.</t>
        </is>
      </c>
    </row>
    <row r="217">
      <c r="A217" s="348" t="inlineStr">
        <is>
          <t>Oregon</t>
        </is>
      </c>
      <c r="B217" s="348" t="inlineStr">
        <is>
          <t>Claims Deadlines</t>
        </is>
      </c>
      <c r="C217" s="348" t="inlineStr">
        <is>
          <t>Administrative Code / Regulation</t>
        </is>
      </c>
      <c r="D217" s="348" t="inlineStr">
        <is>
          <t>Or. Admin. R. 836-080-0225; 836-080-0235; ORS 746.230</t>
        </is>
      </c>
      <c r="E217" s="348" t="inlineStr">
        <is>
          <t>https://secure.sos.state.or.us/oard/viewSingleRule.action?ruleVrsnRsn=205177</t>
        </is>
      </c>
      <c r="F217" s="348" t="inlineStr">
        <is>
          <t>2026-06-07</t>
        </is>
      </c>
      <c r="G217" s="348" t="inlineStr">
        <is>
          <t>2027-06-07</t>
        </is>
      </c>
      <c r="H217" s="348" t="inlineStr">
        <is>
          <t>Pass</t>
        </is>
      </c>
      <c r="I217" s="348" t="inlineStr">
        <is>
          <t>Oregon requires acknowledgment within 30 days and acceptance/denial within 30 days after proof.</t>
        </is>
      </c>
    </row>
    <row r="218">
      <c r="A218" s="348" t="inlineStr">
        <is>
          <t>Oregon</t>
        </is>
      </c>
      <c r="B218" s="348" t="inlineStr">
        <is>
          <t>Comparative Negligence</t>
        </is>
      </c>
      <c r="C218" s="348" t="inlineStr">
        <is>
          <t>Administrative Code / Regulation</t>
        </is>
      </c>
      <c r="D218" s="348" t="inlineStr">
        <is>
          <t>Or. Rev. Stat. § 31.600</t>
        </is>
      </c>
      <c r="E218" s="348" t="inlineStr">
        <is>
          <t>https://www.oregonlegislature.gov/bills_laws/ors/ors031.html</t>
        </is>
      </c>
      <c r="F218" s="348" t="inlineStr">
        <is>
          <t>2026-06-07</t>
        </is>
      </c>
      <c r="G218" s="348" t="inlineStr">
        <is>
          <t>2027-06-07</t>
        </is>
      </c>
      <c r="H218" s="348" t="inlineStr">
        <is>
          <t>Pass</t>
        </is>
      </c>
      <c r="I218" s="348" t="inlineStr">
        <is>
          <t>Claimant may recover if claimant fault is not greater than the combined fault of persons specified by statute; damages are reduced by claimant fault.</t>
        </is>
      </c>
    </row>
    <row r="219">
      <c r="A219" s="348" t="inlineStr">
        <is>
          <t>Oregon</t>
        </is>
      </c>
      <c r="B219" s="348" t="inlineStr">
        <is>
          <t>PIP / No-Fault</t>
        </is>
      </c>
      <c r="C219" s="348" t="inlineStr">
        <is>
          <t>Administrative Code / Regulation</t>
        </is>
      </c>
      <c r="D219" s="348" t="inlineStr">
        <is>
          <t>ORS §§ 742.520; 742.524</t>
        </is>
      </c>
      <c r="E219" s="348" t="inlineStr">
        <is>
          <t>https://www.oregon.gov/odot/dmv/pages/driverid/insurance.aspx</t>
        </is>
      </c>
      <c r="F219" s="348" t="inlineStr">
        <is>
          <t>2026-06-07</t>
        </is>
      </c>
      <c r="G219" s="348" t="inlineStr">
        <is>
          <t>2027-06-07</t>
        </is>
      </c>
      <c r="H219" s="348" t="inlineStr">
        <is>
          <t>Pass</t>
        </is>
      </c>
      <c r="I219" s="348" t="inlineStr">
        <is>
          <t>Oregon requires PIP benefits but does not use a no-fault tort threshold limiting lawsuits.</t>
        </is>
      </c>
    </row>
    <row r="220">
      <c r="A220" s="348" t="inlineStr">
        <is>
          <t>Oregon</t>
        </is>
      </c>
      <c r="B220" s="348" t="inlineStr">
        <is>
          <t>Policy Disclosure</t>
        </is>
      </c>
      <c r="C220" s="348" t="inlineStr">
        <is>
          <t>Administrative Code / Regulation</t>
        </is>
      </c>
      <c r="D220" s="348" t="inlineStr">
        <is>
          <t>ORCP 36 B(2)</t>
        </is>
      </c>
      <c r="E220" s="348" t="inlineStr">
        <is>
          <t>https://www.oregonlegislature.gov/bills_laws/SiteAssets/ORCP.html</t>
        </is>
      </c>
      <c r="F220" s="348" t="inlineStr">
        <is>
          <t>2026-06-07</t>
        </is>
      </c>
      <c r="G220" s="348" t="inlineStr">
        <is>
          <t>2027-06-07</t>
        </is>
      </c>
      <c r="H220" s="348" t="inlineStr">
        <is>
          <t>Pass</t>
        </is>
      </c>
      <c r="I220" s="348" t="inlineStr">
        <is>
          <t>No identified general pre-suit policy-limit disclosure statute for third-party claimants. Insurance coverage information is discoverable during litigation, including limits and certain coverage-position information.</t>
        </is>
      </c>
    </row>
    <row r="221">
      <c r="A221" s="348" t="inlineStr">
        <is>
          <t>Oregon</t>
        </is>
      </c>
      <c r="B221" s="348" t="inlineStr">
        <is>
          <t>UM/UIM Rules</t>
        </is>
      </c>
      <c r="C221" s="348" t="inlineStr">
        <is>
          <t>Administrative Code / Regulation</t>
        </is>
      </c>
      <c r="D221" s="348" t="inlineStr">
        <is>
          <t>ORS § 742.502; OAR 836-054-0000</t>
        </is>
      </c>
      <c r="E221" s="348" t="inlineStr">
        <is>
          <t>https://oregon.public.law/statutes/ors_742.502</t>
        </is>
      </c>
      <c r="F221" s="348" t="inlineStr">
        <is>
          <t>2026-06-07</t>
        </is>
      </c>
      <c r="G221" s="348" t="inlineStr">
        <is>
          <t>2027-06-07</t>
        </is>
      </c>
      <c r="H221" s="348" t="inlineStr">
        <is>
          <t>Pass</t>
        </is>
      </c>
      <c r="I221" s="348" t="inlineStr">
        <is>
          <t>Oregon requires UM coverage and UM coverage must include underinsurance coverage. Lower limits may be elected using an approved written form.</t>
        </is>
      </c>
    </row>
    <row r="222">
      <c r="A222" s="348" t="inlineStr">
        <is>
          <t>Pennsylvania</t>
        </is>
      </c>
      <c r="B222" s="348" t="inlineStr">
        <is>
          <t>Bad Faith</t>
        </is>
      </c>
      <c r="C222" s="348" t="inlineStr">
        <is>
          <t>Statute</t>
        </is>
      </c>
      <c r="D222" s="348" t="inlineStr">
        <is>
          <t>42 Pa.C.S. § 8371</t>
        </is>
      </c>
      <c r="E222" s="348" t="inlineStr">
        <is>
          <t>https://www.legis.state.pa.us/WU01/LI/LI/CT/HTM/42/00.083.071.000..HTM</t>
        </is>
      </c>
      <c r="F222" s="348" t="inlineStr">
        <is>
          <t>2026-06-07</t>
        </is>
      </c>
      <c r="G222" s="348" t="inlineStr">
        <is>
          <t>2027-06-07</t>
        </is>
      </c>
      <c r="H222" s="348" t="inlineStr">
        <is>
          <t>Pass</t>
        </is>
      </c>
      <c r="I222" s="348" t="inlineStr">
        <is>
          <t>Pennsylvania provides a statutory bad-faith remedy in actions arising under an insurance policy.</t>
        </is>
      </c>
    </row>
    <row r="223">
      <c r="A223" s="348" t="inlineStr">
        <is>
          <t>Pennsylvania</t>
        </is>
      </c>
      <c r="B223" s="348" t="inlineStr">
        <is>
          <t>Claims Deadlines</t>
        </is>
      </c>
      <c r="C223" s="348" t="inlineStr">
        <is>
          <t>Statute</t>
        </is>
      </c>
      <c r="D223" s="348" t="inlineStr">
        <is>
          <t>31 Pa. Code §§ 146.5, 146.6, 146.7</t>
        </is>
      </c>
      <c r="E223" s="348" t="inlineStr">
        <is>
          <t>https://www.pacodeandbulletin.gov/secure/pacode/data/031/chapter146/031_0146.pdf</t>
        </is>
      </c>
      <c r="F223" s="348" t="inlineStr">
        <is>
          <t>2026-06-07</t>
        </is>
      </c>
      <c r="G223" s="348" t="inlineStr">
        <is>
          <t>2027-06-07</t>
        </is>
      </c>
      <c r="H223" s="348" t="inlineStr">
        <is>
          <t>Pass</t>
        </is>
      </c>
      <c r="I223" s="348" t="inlineStr">
        <is>
          <t>Pennsylvania sets fixed acknowledgment, investigation, delay-notice, and proof-of-loss decision standards.</t>
        </is>
      </c>
    </row>
    <row r="224">
      <c r="A224" s="348" t="inlineStr">
        <is>
          <t>Pennsylvania</t>
        </is>
      </c>
      <c r="B224" s="348" t="inlineStr">
        <is>
          <t>Comparative Negligence</t>
        </is>
      </c>
      <c r="C224" s="348" t="inlineStr">
        <is>
          <t>Statute</t>
        </is>
      </c>
      <c r="D224" s="348" t="inlineStr">
        <is>
          <t>42 Pa.C.S. § 7102</t>
        </is>
      </c>
      <c r="E224" s="348" t="inlineStr">
        <is>
          <t>https://www.legis.state.pa.us/WU01/LI/LI/CT/HTM/42/00.071.002.000..HTM</t>
        </is>
      </c>
      <c r="F224" s="348" t="inlineStr">
        <is>
          <t>2026-06-07</t>
        </is>
      </c>
      <c r="G224" s="348" t="inlineStr">
        <is>
          <t>2027-06-07</t>
        </is>
      </c>
      <c r="H224" s="348" t="inlineStr">
        <is>
          <t>Pass</t>
        </is>
      </c>
      <c r="I224" s="348" t="inlineStr">
        <is>
          <t>Claimant negligence does not bar recovery when claimant fault is not greater than defendant or aggregate defendant fault; damages are reduced proportionally.</t>
        </is>
      </c>
    </row>
    <row r="225">
      <c r="A225" s="348" t="inlineStr">
        <is>
          <t>Pennsylvania</t>
        </is>
      </c>
      <c r="B225" s="348" t="inlineStr">
        <is>
          <t>PIP / No-Fault</t>
        </is>
      </c>
      <c r="C225" s="348" t="inlineStr">
        <is>
          <t>Statute</t>
        </is>
      </c>
      <c r="D225" s="348" t="inlineStr">
        <is>
          <t>75 Pa.C.S. §§ 1705; 1711</t>
        </is>
      </c>
      <c r="E225" s="348" t="inlineStr">
        <is>
          <t>https://www.palegis.us/statutes/consolidated/view-statute?chapter=17&amp;div=0&amp;section=5&amp;subsctn=0&amp;ttl=75&amp;txtType=HTM</t>
        </is>
      </c>
      <c r="F225" s="348" t="inlineStr">
        <is>
          <t>2026-06-07</t>
        </is>
      </c>
      <c r="G225" s="348" t="inlineStr">
        <is>
          <t>2027-06-07</t>
        </is>
      </c>
      <c r="H225" s="348" t="inlineStr">
        <is>
          <t>Pass</t>
        </is>
      </c>
      <c r="I225" s="348" t="inlineStr">
        <is>
          <t>Medical first-party benefits are required; lawsuit rights depend on limited tort or full tort election.</t>
        </is>
      </c>
    </row>
    <row r="226">
      <c r="A226" s="348" t="inlineStr">
        <is>
          <t>Pennsylvania</t>
        </is>
      </c>
      <c r="B226" s="348" t="inlineStr">
        <is>
          <t>Policy Disclosure</t>
        </is>
      </c>
      <c r="C226" s="348" t="inlineStr">
        <is>
          <t>Statute</t>
        </is>
      </c>
      <c r="D226" s="348" t="inlineStr">
        <is>
          <t>Pa. R.C.P. 4003.2</t>
        </is>
      </c>
      <c r="E226" s="348" t="inlineStr">
        <is>
          <t>https://www.pacodeandbulletin.gov/Display/pacode?d=reduce&amp;file=/secure/pacode/data/231/chapter4000/s4003.2.html</t>
        </is>
      </c>
      <c r="F226" s="348" t="inlineStr">
        <is>
          <t>2026-06-07</t>
        </is>
      </c>
      <c r="G226" s="348" t="inlineStr">
        <is>
          <t>2027-06-07</t>
        </is>
      </c>
      <c r="H226" s="348" t="inlineStr">
        <is>
          <t>Pass</t>
        </is>
      </c>
      <c r="I226" s="348" t="inlineStr">
        <is>
          <t>No identified statutory requirement for pre-suit disclosure of liability policy limits to third-party claimants. Insurance agreements are discoverable during litigation.</t>
        </is>
      </c>
    </row>
    <row r="227">
      <c r="A227" s="348" t="inlineStr">
        <is>
          <t>Pennsylvania</t>
        </is>
      </c>
      <c r="B227" s="348" t="inlineStr">
        <is>
          <t>UM/UIM Rules</t>
        </is>
      </c>
      <c r="C227" s="348" t="inlineStr">
        <is>
          <t>Statute</t>
        </is>
      </c>
      <c r="D227" s="348" t="inlineStr">
        <is>
          <t>75 Pa.C.S. §§ 1731, 1734, 1738</t>
        </is>
      </c>
      <c r="E227" s="348" t="inlineStr">
        <is>
          <t>https://www.legis.state.pa.us/WU01/LI/LI/CT/HTM/75/00.017.031.000..HTM</t>
        </is>
      </c>
      <c r="F227" s="348" t="inlineStr">
        <is>
          <t>2026-06-07</t>
        </is>
      </c>
      <c r="G227" s="348" t="inlineStr">
        <is>
          <t>2027-06-07</t>
        </is>
      </c>
      <c r="H227" s="348" t="inlineStr">
        <is>
          <t>Pass</t>
        </is>
      </c>
      <c r="I227" s="348" t="inlineStr">
        <is>
          <t>Pennsylvania requires insurers to offer UM/UIM coverage. The named insured may reject coverage or select lower limits using statutory procedures; stacking applies unless waived.</t>
        </is>
      </c>
    </row>
    <row r="228">
      <c r="A228" s="348" t="inlineStr">
        <is>
          <t>Rhode Island</t>
        </is>
      </c>
      <c r="B228" s="348" t="inlineStr">
        <is>
          <t>Bad Faith</t>
        </is>
      </c>
      <c r="C228" s="348" t="inlineStr">
        <is>
          <t>Statute</t>
        </is>
      </c>
      <c r="D228" s="348" t="inlineStr">
        <is>
          <t>R.I. Gen. Laws § 9-1-33</t>
        </is>
      </c>
      <c r="E228" s="348" t="inlineStr">
        <is>
          <t>https://webserver.rilegislature.gov</t>
        </is>
      </c>
      <c r="F228" s="348" t="inlineStr">
        <is>
          <t>2026-06-07</t>
        </is>
      </c>
      <c r="G228" s="348" t="inlineStr">
        <is>
          <t>2027-06-07</t>
        </is>
      </c>
      <c r="H228" s="348" t="inlineStr">
        <is>
          <t>Pass</t>
        </is>
      </c>
      <c r="I228" s="348" t="inlineStr">
        <is>
          <t>Rhode Island provides statutory bad-faith remedies for insureds.</t>
        </is>
      </c>
    </row>
    <row r="229">
      <c r="A229" s="348" t="inlineStr">
        <is>
          <t>Rhode Island</t>
        </is>
      </c>
      <c r="B229" s="348" t="inlineStr">
        <is>
          <t>Claims Deadlines</t>
        </is>
      </c>
      <c r="C229" s="348" t="inlineStr">
        <is>
          <t>Administrative Code / Regulation</t>
        </is>
      </c>
      <c r="D229" s="348" t="inlineStr">
        <is>
          <t>230 RICR 20-40-2.6(A), (D), (F); 230 RICR 20-40-2.7(A), (B), (F)</t>
        </is>
      </c>
      <c r="E229" s="348" t="inlineStr">
        <is>
          <t>https://rules.sos.ri.gov/regulations/part/230-20-40-2</t>
        </is>
      </c>
      <c r="F229" s="348" t="inlineStr">
        <is>
          <t>2026-06-07</t>
        </is>
      </c>
      <c r="G229" s="348" t="inlineStr">
        <is>
          <t>2027-06-07</t>
        </is>
      </c>
      <c r="H229" s="348" t="inlineStr">
        <is>
          <t>Pass</t>
        </is>
      </c>
      <c r="I229" s="348" t="inlineStr">
        <is>
          <t>P&amp;C: acknowledge/respond within 15 days; accept/deny within 21 days after proof; tender undisputed payment within 30 days after liability affirmation.</t>
        </is>
      </c>
    </row>
    <row r="230">
      <c r="A230" s="348" t="inlineStr">
        <is>
          <t>Rhode Island</t>
        </is>
      </c>
      <c r="B230" s="348" t="inlineStr">
        <is>
          <t>Comparative Negligence</t>
        </is>
      </c>
      <c r="C230" s="348" t="inlineStr">
        <is>
          <t>Statute</t>
        </is>
      </c>
      <c r="D230" s="348" t="inlineStr">
        <is>
          <t>R.I. Gen. Laws § 9-20-4</t>
        </is>
      </c>
      <c r="E230" s="348" t="inlineStr">
        <is>
          <t>https://webserver.rilegislature.gov/Statutes/TITLE9/9-20/9-20-4.HTM</t>
        </is>
      </c>
      <c r="F230" s="348" t="inlineStr">
        <is>
          <t>2026-06-07</t>
        </is>
      </c>
      <c r="G230" s="348" t="inlineStr">
        <is>
          <t>2027-06-07</t>
        </is>
      </c>
      <c r="H230" s="348" t="inlineStr">
        <is>
          <t>Pass</t>
        </is>
      </c>
      <c r="I230" s="348" t="inlineStr">
        <is>
          <t>Claimant negligence does not bar recovery; damages are reduced in proportion to claimant negligence.</t>
        </is>
      </c>
    </row>
    <row r="231">
      <c r="A231" s="348" t="inlineStr">
        <is>
          <t>Rhode Island</t>
        </is>
      </c>
      <c r="B231" s="348" t="inlineStr">
        <is>
          <t>PIP / No-Fault</t>
        </is>
      </c>
      <c r="C231" s="348" t="inlineStr">
        <is>
          <t>Statute</t>
        </is>
      </c>
      <c r="D231" s="348" t="inlineStr">
        <is>
          <t>R.I. Gen. Laws § 31-31-7</t>
        </is>
      </c>
      <c r="E231" s="348" t="inlineStr">
        <is>
          <t>https://webserver.rilegislature.gov/Statutes/TITLE31/31-31/31-31-7.htm</t>
        </is>
      </c>
      <c r="F231" s="348" t="inlineStr">
        <is>
          <t>2026-06-07</t>
        </is>
      </c>
      <c r="G231" s="348" t="inlineStr">
        <is>
          <t>2027-06-07</t>
        </is>
      </c>
      <c r="H231" s="348" t="inlineStr">
        <is>
          <t>Pass</t>
        </is>
      </c>
      <c r="I231" s="348" t="inlineStr">
        <is>
          <t>Traditional tort state; PIP is not required.</t>
        </is>
      </c>
    </row>
    <row r="232">
      <c r="A232" s="348" t="inlineStr">
        <is>
          <t>Rhode Island</t>
        </is>
      </c>
      <c r="B232" s="348" t="inlineStr">
        <is>
          <t>Policy Disclosure</t>
        </is>
      </c>
      <c r="C232" s="348" t="inlineStr">
        <is>
          <t>Statute</t>
        </is>
      </c>
      <c r="D232" s="348" t="inlineStr">
        <is>
          <t>R.I. Gen. Laws § 27-7-5</t>
        </is>
      </c>
      <c r="E232" s="348" t="inlineStr">
        <is>
          <t>https://webserver.rilegislature.gov/Statutes/TITLE27/27-7/27-7-5.htm</t>
        </is>
      </c>
      <c r="F232" s="348" t="inlineStr">
        <is>
          <t>2026-06-07</t>
        </is>
      </c>
      <c r="G232" s="348" t="inlineStr">
        <is>
          <t>2027-06-07</t>
        </is>
      </c>
      <c r="H232" s="348" t="inlineStr">
        <is>
          <t>Pass</t>
        </is>
      </c>
      <c r="I232" s="348" t="inlineStr">
        <is>
          <t>Insurer must reveal liability coverage limits to an injured party or the injured party's attorney within 14 days after written request.</t>
        </is>
      </c>
    </row>
    <row r="233">
      <c r="A233" s="348" t="inlineStr">
        <is>
          <t>Rhode Island</t>
        </is>
      </c>
      <c r="B233" s="348" t="inlineStr">
        <is>
          <t>UM/UIM Rules</t>
        </is>
      </c>
      <c r="C233" s="348" t="inlineStr">
        <is>
          <t>Administrative Code / Regulation</t>
        </is>
      </c>
      <c r="D233" s="348" t="inlineStr">
        <is>
          <t>R.I. Gen. Laws § 27-7-2.1; 230-RICR-20-05-1</t>
        </is>
      </c>
      <c r="E233" s="348" t="inlineStr">
        <is>
          <t>https://rules.sos.ri.gov/regulations/part/230-20-05-1</t>
        </is>
      </c>
      <c r="F233" s="348" t="inlineStr">
        <is>
          <t>2026-06-07</t>
        </is>
      </c>
      <c r="G233" s="348" t="inlineStr">
        <is>
          <t>2027-06-07</t>
        </is>
      </c>
      <c r="H233" s="348" t="inlineStr">
        <is>
          <t>Pass</t>
        </is>
      </c>
      <c r="I233" s="348" t="inlineStr">
        <is>
          <t>Rhode Island requires UM/UIM coverage tied to liability limits, with limited rejection or lower-limit elections under state regulations.</t>
        </is>
      </c>
    </row>
    <row r="234">
      <c r="A234" s="348" t="inlineStr">
        <is>
          <t>South Carolina</t>
        </is>
      </c>
      <c r="B234" s="348" t="inlineStr">
        <is>
          <t>Bad Faith</t>
        </is>
      </c>
      <c r="C234" s="348" t="inlineStr">
        <is>
          <t>Court Rule / Case Authority</t>
        </is>
      </c>
      <c r="D234" s="348" t="inlineStr">
        <is>
          <t>Nichols v. State Farm</t>
        </is>
      </c>
      <c r="E234" s="348" t="inlineStr">
        <is>
          <t>https://law.justia.com</t>
        </is>
      </c>
      <c r="F234" s="348" t="inlineStr">
        <is>
          <t>2026-06-07</t>
        </is>
      </c>
      <c r="G234" s="348" t="inlineStr">
        <is>
          <t>2027-06-07</t>
        </is>
      </c>
      <c r="H234" s="348" t="inlineStr">
        <is>
          <t>Pass</t>
        </is>
      </c>
      <c r="I234" s="348" t="inlineStr">
        <is>
          <t>South Carolina recognizes common-law insurer bad-faith claims.</t>
        </is>
      </c>
    </row>
    <row r="235">
      <c r="A235" s="348" t="inlineStr">
        <is>
          <t>South Carolina</t>
        </is>
      </c>
      <c r="B235" s="348" t="inlineStr">
        <is>
          <t>Claims Deadlines</t>
        </is>
      </c>
      <c r="C235" s="348" t="inlineStr">
        <is>
          <t>Statute</t>
        </is>
      </c>
      <c r="D235" s="348" t="inlineStr">
        <is>
          <t>S.C. Code Ann. §§ 38-59-20, 38-59-40</t>
        </is>
      </c>
      <c r="E235" s="348" t="inlineStr">
        <is>
          <t>https://www.scstatehouse.gov/code/t38c059.php</t>
        </is>
      </c>
      <c r="F235" s="348" t="inlineStr">
        <is>
          <t>2026-06-07</t>
        </is>
      </c>
      <c r="G235" s="348" t="inlineStr">
        <is>
          <t>2027-06-07</t>
        </is>
      </c>
      <c r="H235" s="348" t="inlineStr">
        <is>
          <t>Pass</t>
        </is>
      </c>
      <c r="I235" s="348" t="inlineStr">
        <is>
          <t>South Carolina uses reasonable/prompt standards; bad-faith refusal to pay has a 90-day statutory trigger.</t>
        </is>
      </c>
    </row>
    <row r="236">
      <c r="A236" s="348" t="inlineStr">
        <is>
          <t>South Carolina</t>
        </is>
      </c>
      <c r="B236" s="348" t="inlineStr">
        <is>
          <t>Comparative Negligence</t>
        </is>
      </c>
      <c r="C236" s="348" t="inlineStr">
        <is>
          <t>Court Rule / Case Authority</t>
        </is>
      </c>
      <c r="D236" s="348" t="inlineStr">
        <is>
          <t>Nelson v. Concrete Supply Co., 303 S.C. 243, 399 S.E.2d 783 (1991)</t>
        </is>
      </c>
      <c r="E236" s="348" t="inlineStr">
        <is>
          <t>https://www.sccourts.org/opinions/htmlfiles/SC/24850.htm</t>
        </is>
      </c>
      <c r="F236" s="348" t="inlineStr">
        <is>
          <t>2026-06-07</t>
        </is>
      </c>
      <c r="G236" s="348" t="inlineStr">
        <is>
          <t>2027-06-07</t>
        </is>
      </c>
      <c r="H236" s="348" t="inlineStr">
        <is>
          <t>Pass</t>
        </is>
      </c>
      <c r="I236" s="348" t="inlineStr">
        <is>
          <t>South Carolina follows modified comparative negligence; claimant may recover when claimant negligence does not exceed defendant negligence.</t>
        </is>
      </c>
    </row>
    <row r="237">
      <c r="A237" s="348" t="inlineStr">
        <is>
          <t>South Carolina</t>
        </is>
      </c>
      <c r="B237" s="348" t="inlineStr">
        <is>
          <t>PIP / No-Fault</t>
        </is>
      </c>
      <c r="C237" s="348" t="inlineStr">
        <is>
          <t>Statute</t>
        </is>
      </c>
      <c r="D237" s="348" t="inlineStr">
        <is>
          <t>S.C. Code § 38-77-140</t>
        </is>
      </c>
      <c r="E237" s="348" t="inlineStr">
        <is>
          <t>https://www.scstatehouse.gov/code/t38c077.php</t>
        </is>
      </c>
      <c r="F237" s="348" t="inlineStr">
        <is>
          <t>2026-06-07</t>
        </is>
      </c>
      <c r="G237" s="348" t="inlineStr">
        <is>
          <t>2027-06-07</t>
        </is>
      </c>
      <c r="H237" s="348" t="inlineStr">
        <is>
          <t>Pass</t>
        </is>
      </c>
      <c r="I237" s="348" t="inlineStr">
        <is>
          <t>Traditional tort state; PIP is not required.</t>
        </is>
      </c>
    </row>
    <row r="238">
      <c r="A238" s="348" t="inlineStr">
        <is>
          <t>South Carolina</t>
        </is>
      </c>
      <c r="B238" s="348" t="inlineStr">
        <is>
          <t>Policy Disclosure</t>
        </is>
      </c>
      <c r="C238" s="348" t="inlineStr">
        <is>
          <t>Statute</t>
        </is>
      </c>
      <c r="D238" s="348" t="inlineStr">
        <is>
          <t>S.C. Code § 38-77-250</t>
        </is>
      </c>
      <c r="E238" s="348" t="inlineStr">
        <is>
          <t>https://www.scstatehouse.gov/code/t38c077.php</t>
        </is>
      </c>
      <c r="F238" s="348" t="inlineStr">
        <is>
          <t>2026-06-07</t>
        </is>
      </c>
      <c r="G238" s="348" t="inlineStr">
        <is>
          <t>2027-06-07</t>
        </is>
      </c>
      <c r="H238" s="348" t="inlineStr">
        <is>
          <t>Pass</t>
        </is>
      </c>
      <c r="I238" s="348" t="inlineStr">
        <is>
          <t>Insurer must provide a sworn statement of coverage information within 30 days after a qualifying written request from the claimant's attorney. Umbrella and excess coverage are not required under this statute.</t>
        </is>
      </c>
    </row>
    <row r="239">
      <c r="A239" s="348" t="inlineStr">
        <is>
          <t>South Carolina</t>
        </is>
      </c>
      <c r="B239" s="348" t="inlineStr">
        <is>
          <t>UM/UIM Rules</t>
        </is>
      </c>
      <c r="C239" s="348" t="inlineStr">
        <is>
          <t>Statute</t>
        </is>
      </c>
      <c r="D239" s="348" t="inlineStr">
        <is>
          <t>S.C. Code §§ 38-77-150; 38-77-160</t>
        </is>
      </c>
      <c r="E239" s="348" t="inlineStr">
        <is>
          <t>https://www.scstatehouse.gov/code/t38c077.php</t>
        </is>
      </c>
      <c r="F239" s="348" t="inlineStr">
        <is>
          <t>2026-06-07</t>
        </is>
      </c>
      <c r="G239" s="348" t="inlineStr">
        <is>
          <t>2027-06-07</t>
        </is>
      </c>
      <c r="H239" s="348" t="inlineStr">
        <is>
          <t>Pass</t>
        </is>
      </c>
      <c r="I239" s="348" t="inlineStr">
        <is>
          <t>South Carolina requires uninsured motorist coverage and requires insurers to offer underinsured motorist coverage up to the insured's liability limits.</t>
        </is>
      </c>
    </row>
    <row r="240">
      <c r="A240" s="348" t="inlineStr">
        <is>
          <t>South Dakota</t>
        </is>
      </c>
      <c r="B240" s="348" t="inlineStr">
        <is>
          <t>Bad Faith</t>
        </is>
      </c>
      <c r="C240" s="348" t="inlineStr">
        <is>
          <t>Court Rule / Case Authority</t>
        </is>
      </c>
      <c r="D240" s="348" t="inlineStr">
        <is>
          <t>Champion v. U.S. Fidelity &amp; Guaranty Co.</t>
        </is>
      </c>
      <c r="E240" s="348" t="inlineStr">
        <is>
          <t>https://law.justia.com/cases/south-dakota/supreme-court/1987/15367-1.html</t>
        </is>
      </c>
      <c r="F240" s="348" t="inlineStr">
        <is>
          <t>2026-06-07</t>
        </is>
      </c>
      <c r="G240" s="348" t="inlineStr">
        <is>
          <t>2027-06-07</t>
        </is>
      </c>
      <c r="H240" s="348" t="inlineStr">
        <is>
          <t>Pass</t>
        </is>
      </c>
      <c r="I240" s="348" t="inlineStr">
        <is>
          <t>South Dakota recognizes first-party insurer bad faith as a tort; third-party remedies are limited.</t>
        </is>
      </c>
    </row>
    <row r="241">
      <c r="A241" s="348" t="inlineStr">
        <is>
          <t>South Dakota</t>
        </is>
      </c>
      <c r="B241" s="348" t="inlineStr">
        <is>
          <t>Claims Deadlines</t>
        </is>
      </c>
      <c r="C241" s="348" t="inlineStr">
        <is>
          <t>Statute</t>
        </is>
      </c>
      <c r="D241" s="348" t="inlineStr">
        <is>
          <t>S.D. Codified Laws §§ 58-33-67, 58-12-34</t>
        </is>
      </c>
      <c r="E241" s="348" t="inlineStr">
        <is>
          <t>https://sdlegislature.gov/Statutes/58-33-67</t>
        </is>
      </c>
      <c r="F241" s="348" t="inlineStr">
        <is>
          <t>2026-06-07</t>
        </is>
      </c>
      <c r="G241" s="348" t="inlineStr">
        <is>
          <t>2027-06-07</t>
        </is>
      </c>
      <c r="H241" s="348" t="inlineStr">
        <is>
          <t>Pass</t>
        </is>
      </c>
      <c r="I241" s="348" t="inlineStr">
        <is>
          <t>Insurers must acknowledge and act within 30 days on claim communications.</t>
        </is>
      </c>
    </row>
    <row r="242">
      <c r="A242" s="348" t="inlineStr">
        <is>
          <t>South Dakota</t>
        </is>
      </c>
      <c r="B242" s="348" t="inlineStr">
        <is>
          <t>PIP / No-Fault</t>
        </is>
      </c>
      <c r="C242" s="348" t="inlineStr">
        <is>
          <t>Statute</t>
        </is>
      </c>
      <c r="D242" s="348" t="inlineStr">
        <is>
          <t>SDCL § 32-35-70</t>
        </is>
      </c>
      <c r="E242" s="348" t="inlineStr">
        <is>
          <t>https://sdlegislature.gov/Statutes/32-35-70</t>
        </is>
      </c>
      <c r="F242" s="348" t="inlineStr">
        <is>
          <t>2026-06-07</t>
        </is>
      </c>
      <c r="G242" s="348" t="inlineStr">
        <is>
          <t>2027-06-07</t>
        </is>
      </c>
      <c r="H242" s="348" t="inlineStr">
        <is>
          <t>Pass</t>
        </is>
      </c>
      <c r="I242" s="348" t="inlineStr">
        <is>
          <t>Traditional tort state; PIP is not required.</t>
        </is>
      </c>
    </row>
    <row r="243">
      <c r="A243" s="348" t="inlineStr">
        <is>
          <t>South Dakota</t>
        </is>
      </c>
      <c r="B243" s="348" t="inlineStr">
        <is>
          <t>Policy Disclosure</t>
        </is>
      </c>
      <c r="C243" s="348" t="inlineStr">
        <is>
          <t>Statute</t>
        </is>
      </c>
      <c r="D243" s="348" t="inlineStr">
        <is>
          <t>S.D. Codified Laws § 15-6-26(b)</t>
        </is>
      </c>
      <c r="E243" s="348" t="inlineStr">
        <is>
          <t>https://sdlegislature.gov/Statutes/15-6-26%28b%29</t>
        </is>
      </c>
      <c r="F243" s="348" t="inlineStr">
        <is>
          <t>2026-06-07</t>
        </is>
      </c>
      <c r="G243" s="348" t="inlineStr">
        <is>
          <t>2027-06-07</t>
        </is>
      </c>
      <c r="H243" s="348" t="inlineStr">
        <is>
          <t>Pass</t>
        </is>
      </c>
      <c r="I243" s="348" t="inlineStr">
        <is>
          <t>No identified statutory requirement for pre-suit disclosure of liability policy limits to third-party claimants. Insurance agreements are discoverable during litigation.</t>
        </is>
      </c>
    </row>
    <row r="244">
      <c r="A244" s="348" t="inlineStr">
        <is>
          <t>South Dakota</t>
        </is>
      </c>
      <c r="B244" s="348" t="inlineStr">
        <is>
          <t>UM/UIM Rules</t>
        </is>
      </c>
      <c r="C244" s="348" t="inlineStr">
        <is>
          <t>Statute</t>
        </is>
      </c>
      <c r="D244" s="348" t="inlineStr">
        <is>
          <t>S.D. Codified Laws §§ 58-11-9 to 58-11-9.9</t>
        </is>
      </c>
      <c r="E244" s="348" t="inlineStr">
        <is>
          <t>https://sdlegislature.gov/Statutes/58-11</t>
        </is>
      </c>
      <c r="F244" s="348" t="inlineStr">
        <is>
          <t>2026-06-07</t>
        </is>
      </c>
      <c r="G244" s="348" t="inlineStr">
        <is>
          <t>2027-06-07</t>
        </is>
      </c>
      <c r="H244" s="348" t="inlineStr">
        <is>
          <t>Pass</t>
        </is>
      </c>
      <c r="I244" s="348" t="inlineStr">
        <is>
          <t>South Dakota requires UM and UIM coverage. The statutes also include anti-stacking provisions for uninsured and underinsured motorist limits.</t>
        </is>
      </c>
    </row>
    <row r="245">
      <c r="A245" s="348" t="inlineStr">
        <is>
          <t>Tennessee</t>
        </is>
      </c>
      <c r="B245" s="348" t="inlineStr">
        <is>
          <t>Bad Faith</t>
        </is>
      </c>
      <c r="C245" s="348" t="inlineStr">
        <is>
          <t>Court Rule / Case Authority</t>
        </is>
      </c>
      <c r="D245" s="348" t="inlineStr">
        <is>
          <t>Tenn. Code Ann. § 56-7-105; State Auto. Ins. Co. v. Rowland</t>
        </is>
      </c>
      <c r="E245" s="348" t="inlineStr">
        <is>
          <t>https://law.justia.com/codes/tennessee/title-56/chapter-7/part-1/section-56-7-105/</t>
        </is>
      </c>
      <c r="F245" s="348" t="inlineStr">
        <is>
          <t>2026-06-07</t>
        </is>
      </c>
      <c r="G245" s="348" t="inlineStr">
        <is>
          <t>2027-06-07</t>
        </is>
      </c>
      <c r="H245" s="348" t="inlineStr">
        <is>
          <t>Pass</t>
        </is>
      </c>
      <c r="I245" s="348" t="inlineStr">
        <is>
          <t>Tennessee provides a statutory bad-faith penalty for covered claim-payment failures and limited failure-to-settle remedies.</t>
        </is>
      </c>
    </row>
    <row r="246">
      <c r="A246" s="348" t="inlineStr">
        <is>
          <t>Tennessee</t>
        </is>
      </c>
      <c r="B246" s="348" t="inlineStr">
        <is>
          <t>Claims Deadlines</t>
        </is>
      </c>
      <c r="C246" s="348" t="inlineStr">
        <is>
          <t>Administrative Code / Regulation</t>
        </is>
      </c>
      <c r="D246" s="348" t="inlineStr">
        <is>
          <t>Tenn. Comp. R. &amp; Regs. 0780-01-05-.07, -.08; Tenn. Code Ann. § 56-8-105</t>
        </is>
      </c>
      <c r="E246" s="348" t="inlineStr">
        <is>
          <t>https://publications.tnsosfiles.com/rules/0780/0780-01/0780-01-05.20171009.pdf</t>
        </is>
      </c>
      <c r="F246" s="348" t="inlineStr">
        <is>
          <t>2026-06-07</t>
        </is>
      </c>
      <c r="G246" s="348" t="inlineStr">
        <is>
          <t>2027-06-07</t>
        </is>
      </c>
      <c r="H246" s="348" t="inlineStr">
        <is>
          <t>Pass</t>
        </is>
      </c>
      <c r="I246" s="348" t="inlineStr">
        <is>
          <t>Tennessee sets 30-day acknowledgment, 60-day proof-of-loss decision/update, and 30-day payment after liability is affirmed.</t>
        </is>
      </c>
    </row>
    <row r="247">
      <c r="A247" s="348" t="inlineStr">
        <is>
          <t>Tennessee</t>
        </is>
      </c>
      <c r="B247" s="348" t="inlineStr">
        <is>
          <t>PIP / No-Fault</t>
        </is>
      </c>
      <c r="C247" s="348" t="inlineStr">
        <is>
          <t>Statute</t>
        </is>
      </c>
      <c r="D247" s="348" t="inlineStr">
        <is>
          <t>Tenn. Code Ann. § 55-12-102</t>
        </is>
      </c>
      <c r="E247" s="348" t="inlineStr">
        <is>
          <t>https://law.justia.com/codes/tennessee/title-55/chapter-12/part-1/section-55-12-102/</t>
        </is>
      </c>
      <c r="F247" s="348" t="inlineStr">
        <is>
          <t>2026-06-07</t>
        </is>
      </c>
      <c r="G247" s="348" t="inlineStr">
        <is>
          <t>2027-06-07</t>
        </is>
      </c>
      <c r="H247" s="348" t="inlineStr">
        <is>
          <t>Pass</t>
        </is>
      </c>
      <c r="I247" s="348" t="inlineStr">
        <is>
          <t>Traditional tort state; PIP is not required.</t>
        </is>
      </c>
    </row>
    <row r="248">
      <c r="A248" s="348" t="inlineStr">
        <is>
          <t>Tennessee</t>
        </is>
      </c>
      <c r="B248" s="348" t="inlineStr">
        <is>
          <t>Policy Disclosure</t>
        </is>
      </c>
      <c r="C248" s="348" t="inlineStr">
        <is>
          <t>Court Rule / Case Authority</t>
        </is>
      </c>
      <c r="D248" s="348" t="inlineStr">
        <is>
          <t>Thomas v. Oldfield, 279 S.W.3d 259 (Tenn. 2009)</t>
        </is>
      </c>
      <c r="E248" s="348" t="inlineStr">
        <is>
          <t>https://www.tncourts.gov/courts/supreme-court/opinions/2009/02/02/james-g-thomas-jr-brother-and-next-kin-karen-g-thomas</t>
        </is>
      </c>
      <c r="F248" s="348" t="inlineStr">
        <is>
          <t>2026-06-07</t>
        </is>
      </c>
      <c r="G248" s="348" t="inlineStr">
        <is>
          <t>2027-06-07</t>
        </is>
      </c>
      <c r="H248" s="348" t="inlineStr">
        <is>
          <t>Pass</t>
        </is>
      </c>
      <c r="I248" s="348" t="inlineStr">
        <is>
          <t>No identified statutory requirement for pre-suit disclosure of liability policy limits to third-party claimants. Tennessee Supreme Court authority holds liability insurance information is not discoverable under Tenn. R. Civ. P. 26.02.</t>
        </is>
      </c>
    </row>
    <row r="249">
      <c r="A249" s="348" t="inlineStr">
        <is>
          <t>Tennessee</t>
        </is>
      </c>
      <c r="B249" s="348" t="inlineStr">
        <is>
          <t>UM/UIM Rules</t>
        </is>
      </c>
      <c r="C249" s="348" t="inlineStr">
        <is>
          <t>Statute</t>
        </is>
      </c>
      <c r="D249" s="348" t="inlineStr">
        <is>
          <t>Tenn. Code Ann. § 56-7-1201</t>
        </is>
      </c>
      <c r="E249" s="348" t="inlineStr">
        <is>
          <t>https://law.justia.com/codes/tennessee/title-56/chapter-7/part-12/section-56-7-1201/</t>
        </is>
      </c>
      <c r="F249" s="348" t="inlineStr">
        <is>
          <t>2026-06-07</t>
        </is>
      </c>
      <c r="G249" s="348" t="inlineStr">
        <is>
          <t>2027-06-07</t>
        </is>
      </c>
      <c r="H249" s="348" t="inlineStr">
        <is>
          <t>Pass</t>
        </is>
      </c>
      <c r="I249" s="348" t="inlineStr">
        <is>
          <t>Tennessee requires UM/UIM coverage unless rejected in writing. Stacking may depend on policy structure, premiums, and statutory limitations.</t>
        </is>
      </c>
    </row>
    <row r="250">
      <c r="A250" s="348" t="inlineStr">
        <is>
          <t>Texas</t>
        </is>
      </c>
      <c r="B250" s="348" t="inlineStr">
        <is>
          <t>Bad Faith</t>
        </is>
      </c>
      <c r="C250" s="348" t="inlineStr">
        <is>
          <t>Statute</t>
        </is>
      </c>
      <c r="D250" s="348" t="inlineStr">
        <is>
          <t>Tex. Ins. Code chs. 541, 542; Stowers doctrine</t>
        </is>
      </c>
      <c r="E250" s="348" t="inlineStr">
        <is>
          <t>https://statutes.capitol.texas.gov/Docs/IN/htm/IN.541.htm</t>
        </is>
      </c>
      <c r="F250" s="348" t="inlineStr">
        <is>
          <t>2026-06-07</t>
        </is>
      </c>
      <c r="G250" s="348" t="inlineStr">
        <is>
          <t>2027-06-07</t>
        </is>
      </c>
      <c r="H250" s="348" t="inlineStr">
        <is>
          <t>Pass</t>
        </is>
      </c>
      <c r="I250" s="348" t="inlineStr">
        <is>
          <t>Texas recognizes statutory insurance remedies and a limited third-party duty-to-settle framework through Stowers principles.</t>
        </is>
      </c>
    </row>
    <row r="251">
      <c r="A251" s="348" t="inlineStr">
        <is>
          <t>Texas</t>
        </is>
      </c>
      <c r="B251" s="348" t="inlineStr">
        <is>
          <t>Claims Deadlines</t>
        </is>
      </c>
      <c r="C251" s="348" t="inlineStr">
        <is>
          <t>Statute</t>
        </is>
      </c>
      <c r="D251" s="348" t="inlineStr">
        <is>
          <t>Tex. Ins. Code §§ 542.055, 542.056, 542.057</t>
        </is>
      </c>
      <c r="E251" s="348" t="inlineStr">
        <is>
          <t>https://statutes.capitol.texas.gov/Docs/IN/htm/IN.542.htm#542.055</t>
        </is>
      </c>
      <c r="F251" s="348" t="inlineStr">
        <is>
          <t>2026-06-07</t>
        </is>
      </c>
      <c r="G251" s="348" t="inlineStr">
        <is>
          <t>2027-06-07</t>
        </is>
      </c>
      <c r="H251" s="348" t="inlineStr">
        <is>
          <t>Pass</t>
        </is>
      </c>
      <c r="I251" s="348" t="inlineStr">
        <is>
          <t>Prompt Payment of Claims Act sets acknowledgment, acceptance/rejection, extension, and payment trigger deadlines for first-party claims.</t>
        </is>
      </c>
    </row>
    <row r="252">
      <c r="A252" s="348" t="inlineStr">
        <is>
          <t>Texas</t>
        </is>
      </c>
      <c r="B252" s="348" t="inlineStr">
        <is>
          <t>PIP / No-Fault</t>
        </is>
      </c>
      <c r="C252" s="348" t="inlineStr">
        <is>
          <t>Statute</t>
        </is>
      </c>
      <c r="D252" s="348" t="inlineStr">
        <is>
          <t>Tex. Ins. Code §§ 1952.151; 1952.152</t>
        </is>
      </c>
      <c r="E252" s="348" t="inlineStr">
        <is>
          <t>https://statutes.capitol.texas.gov/Docs/IN/htm/IN.1952.htm</t>
        </is>
      </c>
      <c r="F252" s="348" t="inlineStr">
        <is>
          <t>2026-06-07</t>
        </is>
      </c>
      <c r="G252" s="348" t="inlineStr">
        <is>
          <t>2027-06-07</t>
        </is>
      </c>
      <c r="H252" s="348" t="inlineStr">
        <is>
          <t>Pass</t>
        </is>
      </c>
      <c r="I252" s="348" t="inlineStr">
        <is>
          <t>Texas requires insurers to provide PIP unless rejected in writing; no no-fault tort threshold applies.</t>
        </is>
      </c>
    </row>
    <row r="253">
      <c r="A253" s="348" t="inlineStr">
        <is>
          <t>Texas</t>
        </is>
      </c>
      <c r="B253" s="348" t="inlineStr">
        <is>
          <t>Policy Disclosure</t>
        </is>
      </c>
      <c r="C253" s="348" t="inlineStr">
        <is>
          <t>Court Rule / Case Authority</t>
        </is>
      </c>
      <c r="D253" s="348" t="inlineStr">
        <is>
          <t>Tex. R. Civ. P. 194.2(b)(7); Tex. R. Civ. P. 192.3(f)</t>
        </is>
      </c>
      <c r="E253" s="348" t="inlineStr">
        <is>
          <t>https://www.txcourts.gov/media/1456903/239052.pdf</t>
        </is>
      </c>
      <c r="F253" s="348" t="inlineStr">
        <is>
          <t>2026-06-07</t>
        </is>
      </c>
      <c r="G253" s="348" t="inlineStr">
        <is>
          <t>2027-06-07</t>
        </is>
      </c>
      <c r="H253" s="348" t="inlineStr">
        <is>
          <t>Pass</t>
        </is>
      </c>
      <c r="I253" s="348" t="inlineStr">
        <is>
          <t>No identified statutory requirement for pre-suit disclosure of liability policy limits to third-party claimants. Insurance agreements are disclosed through Texas litigation discovery rules.</t>
        </is>
      </c>
    </row>
    <row r="254">
      <c r="A254" s="348" t="inlineStr">
        <is>
          <t>Texas</t>
        </is>
      </c>
      <c r="B254" s="348" t="inlineStr">
        <is>
          <t>UM/UIM Rules</t>
        </is>
      </c>
      <c r="C254" s="348" t="inlineStr">
        <is>
          <t>Statute</t>
        </is>
      </c>
      <c r="D254" s="348" t="inlineStr">
        <is>
          <t>Tex. Ins. Code §§ 1952.101-1952.110</t>
        </is>
      </c>
      <c r="E254" s="348" t="inlineStr">
        <is>
          <t>https://statutes.capitol.texas.gov/Docs/IN/htm/IN.1952.htm</t>
        </is>
      </c>
      <c r="F254" s="348" t="inlineStr">
        <is>
          <t>2026-06-07</t>
        </is>
      </c>
      <c r="G254" s="348" t="inlineStr">
        <is>
          <t>2027-06-07</t>
        </is>
      </c>
      <c r="H254" s="348" t="inlineStr">
        <is>
          <t>Pass</t>
        </is>
      </c>
      <c r="I254" s="348" t="inlineStr">
        <is>
          <t>UM/UIM coverage must be provided unless the named insured rejects it in writing. Stacking and offsets depend on policy terms and Texas law.</t>
        </is>
      </c>
    </row>
    <row r="255">
      <c r="A255" s="348" t="inlineStr">
        <is>
          <t>Utah</t>
        </is>
      </c>
      <c r="B255" s="348" t="inlineStr">
        <is>
          <t>Bad Faith</t>
        </is>
      </c>
      <c r="C255" s="348" t="inlineStr">
        <is>
          <t>Court Rule / Case Authority</t>
        </is>
      </c>
      <c r="D255" s="348" t="inlineStr">
        <is>
          <t>Utah Code § 31A-26-303; Beck v. Farmers Insurance Exchange</t>
        </is>
      </c>
      <c r="E255" s="348" t="inlineStr">
        <is>
          <t>https://le.utah.gov/xcode/Title31A/Chapter26/31A-26-S303.html</t>
        </is>
      </c>
      <c r="F255" s="348" t="inlineStr">
        <is>
          <t>2026-06-07</t>
        </is>
      </c>
      <c r="G255" s="348" t="inlineStr">
        <is>
          <t>2027-06-07</t>
        </is>
      </c>
      <c r="H255" s="348" t="inlineStr">
        <is>
          <t>Pass</t>
        </is>
      </c>
      <c r="I255" s="348" t="inlineStr">
        <is>
          <t>Utah recognizes first-party insurer bad-faith claims; statutory unfair-claims provisions also regulate claim handling.</t>
        </is>
      </c>
    </row>
    <row r="256">
      <c r="A256" s="348" t="inlineStr">
        <is>
          <t>Utah</t>
        </is>
      </c>
      <c r="B256" s="348" t="inlineStr">
        <is>
          <t>Claims Deadlines</t>
        </is>
      </c>
      <c r="C256" s="348" t="inlineStr">
        <is>
          <t>Administrative Code / Regulation</t>
        </is>
      </c>
      <c r="D256" s="348" t="inlineStr">
        <is>
          <t>Utah Admin. Code R590-190-6; R590-190-9; R590-190-10</t>
        </is>
      </c>
      <c r="E256" s="348" t="inlineStr">
        <is>
          <t>https://adminrules.utah.gov/public/rule/R590-190/Current%20Rules</t>
        </is>
      </c>
      <c r="F256" s="348" t="inlineStr">
        <is>
          <t>2026-06-07</t>
        </is>
      </c>
      <c r="G256" s="348" t="inlineStr">
        <is>
          <t>2027-06-07</t>
        </is>
      </c>
      <c r="H256" s="348" t="inlineStr">
        <is>
          <t>Pass</t>
        </is>
      </c>
      <c r="I256" s="348" t="inlineStr">
        <is>
          <t>Utah P&amp;C rule sets 15-day acknowledgment and 30-day proof-of-loss investigation/payment standards, with 45-day updates if incomplete.</t>
        </is>
      </c>
    </row>
    <row r="257">
      <c r="A257" s="348" t="inlineStr">
        <is>
          <t>Utah</t>
        </is>
      </c>
      <c r="B257" s="348" t="inlineStr">
        <is>
          <t>PIP / No-Fault</t>
        </is>
      </c>
      <c r="C257" s="348" t="inlineStr">
        <is>
          <t>Statute</t>
        </is>
      </c>
      <c r="D257" s="348" t="inlineStr">
        <is>
          <t>Utah Code §§ 31A-22-307; 31A-22-309</t>
        </is>
      </c>
      <c r="E257" s="348" t="inlineStr">
        <is>
          <t>https://le.utah.gov/xcode/Title31A/Chapter22/31A-22-S309.html</t>
        </is>
      </c>
      <c r="F257" s="348" t="inlineStr">
        <is>
          <t>2026-06-07</t>
        </is>
      </c>
      <c r="G257" s="348" t="inlineStr">
        <is>
          <t>2027-06-07</t>
        </is>
      </c>
      <c r="H257" s="348" t="inlineStr">
        <is>
          <t>Pass</t>
        </is>
      </c>
      <c r="I257" s="348" t="inlineStr">
        <is>
          <t>Utah requires PIP/direct benefit coverage and applies statutory limitations on general-damages claims.</t>
        </is>
      </c>
    </row>
    <row r="258">
      <c r="A258" s="348" t="inlineStr">
        <is>
          <t>Utah</t>
        </is>
      </c>
      <c r="B258" s="348" t="inlineStr">
        <is>
          <t>Policy Disclosure</t>
        </is>
      </c>
      <c r="C258" s="348" t="inlineStr">
        <is>
          <t>Court Rule / Case Authority</t>
        </is>
      </c>
      <c r="D258" s="348" t="inlineStr">
        <is>
          <t>Utah R. Civ. P. 26(a)(1)(D), 26(a)(2)</t>
        </is>
      </c>
      <c r="E258" s="348" t="inlineStr">
        <is>
          <t>https://legacy.utcourts.gov/rules/view.php?rule=26&amp;type=urcp</t>
        </is>
      </c>
      <c r="F258" s="348" t="inlineStr">
        <is>
          <t>2026-06-07</t>
        </is>
      </c>
      <c r="G258" s="348" t="inlineStr">
        <is>
          <t>2027-06-07</t>
        </is>
      </c>
      <c r="H258" s="348" t="inlineStr">
        <is>
          <t>Pass</t>
        </is>
      </c>
      <c r="I258" s="348" t="inlineStr">
        <is>
          <t>No Utah pre-suit policy-limits disclosure statute was confirmed. Utah Rule 26 requires litigation initial disclosures including agreements that may satisfy, indemnify, or reimburse part or all of a judgment.</t>
        </is>
      </c>
    </row>
    <row r="259">
      <c r="A259" s="348" t="inlineStr">
        <is>
          <t>Utah</t>
        </is>
      </c>
      <c r="B259" s="348" t="inlineStr">
        <is>
          <t>UM/UIM Rules</t>
        </is>
      </c>
      <c r="C259" s="348" t="inlineStr">
        <is>
          <t>Statute</t>
        </is>
      </c>
      <c r="D259" s="348" t="inlineStr">
        <is>
          <t>Utah Code §§ 31A-22-305; 31A-22-305.3</t>
        </is>
      </c>
      <c r="E259" s="348" t="inlineStr">
        <is>
          <t>https://le.utah.gov/xcode/Title31A/Chapter22/31A-22-S305.html</t>
        </is>
      </c>
      <c r="F259" s="348" t="inlineStr">
        <is>
          <t>2026-06-07</t>
        </is>
      </c>
      <c r="G259" s="348" t="inlineStr">
        <is>
          <t>2027-06-07</t>
        </is>
      </c>
      <c r="H259" s="348" t="inlineStr">
        <is>
          <t>Pass</t>
        </is>
      </c>
      <c r="I259" s="348" t="inlineStr">
        <is>
          <t>Utah requires UM and UIM coverage as part of motor vehicle insurance unless properly waived or selected otherwise in writing.</t>
        </is>
      </c>
    </row>
    <row r="260">
      <c r="A260" s="348" t="inlineStr">
        <is>
          <t>Vermont</t>
        </is>
      </c>
      <c r="B260" s="348" t="inlineStr">
        <is>
          <t>Bad Faith</t>
        </is>
      </c>
      <c r="C260" s="348" t="inlineStr">
        <is>
          <t>Court Rule / Case Authority</t>
        </is>
      </c>
      <c r="D260" s="348" t="inlineStr">
        <is>
          <t>Bushey v. Allstate Insurance Co.; Myers v. Ambassador Insurance Co.</t>
        </is>
      </c>
      <c r="E260" s="348" t="inlineStr">
        <is>
          <t>https://www.vermontjudiciary.org</t>
        </is>
      </c>
      <c r="F260" s="348" t="inlineStr">
        <is>
          <t>2026-06-07</t>
        </is>
      </c>
      <c r="G260" s="348" t="inlineStr">
        <is>
          <t>2027-06-07</t>
        </is>
      </c>
      <c r="H260" s="348" t="inlineStr">
        <is>
          <t>Pass</t>
        </is>
      </c>
      <c r="I260" s="348" t="inlineStr">
        <is>
          <t>Vermont recognizes first-party bad-faith claims; third-party liability-claim duties are more limited.</t>
        </is>
      </c>
    </row>
    <row r="261">
      <c r="A261" s="348" t="inlineStr">
        <is>
          <t>Vermont</t>
        </is>
      </c>
      <c r="B261" s="348" t="inlineStr">
        <is>
          <t>Claims Deadlines</t>
        </is>
      </c>
      <c r="C261" s="348" t="inlineStr">
        <is>
          <t>Administrative Code / Regulation</t>
        </is>
      </c>
      <c r="D261" s="348" t="inlineStr">
        <is>
          <t>Vt. Admin. Code 21-020-008 §§ 5-7; 8 V.S.A. § 4724(9)</t>
        </is>
      </c>
      <c r="E261" s="348" t="inlineStr">
        <is>
          <t>https://legislature.vermont.gov/statutes/section/08/129/04724; https://www.lexisnexis.com/hottopics/codeofvtrules/</t>
        </is>
      </c>
      <c r="F261" s="348" t="inlineStr">
        <is>
          <t>2026-06-07</t>
        </is>
      </c>
      <c r="G261" s="348" t="inlineStr">
        <is>
          <t>2027-06-07</t>
        </is>
      </c>
      <c r="H261" s="348" t="inlineStr">
        <is>
          <t>Pass</t>
        </is>
      </c>
      <c r="I261" s="348" t="inlineStr">
        <is>
          <t>Official statute confirms unfair-claims authority; regulation supplies fixed timing, but official public regulation access is through the Vermont code portal.</t>
        </is>
      </c>
    </row>
    <row r="262">
      <c r="A262" s="348" t="inlineStr">
        <is>
          <t>Vermont</t>
        </is>
      </c>
      <c r="B262" s="348" t="inlineStr">
        <is>
          <t>PIP / No-Fault</t>
        </is>
      </c>
      <c r="C262" s="348" t="inlineStr">
        <is>
          <t>Statute</t>
        </is>
      </c>
      <c r="D262" s="348" t="inlineStr">
        <is>
          <t>23 V.S.A. § 800</t>
        </is>
      </c>
      <c r="E262" s="348" t="inlineStr">
        <is>
          <t>https://legislature.vermont.gov/statutes/section/23/011/00800</t>
        </is>
      </c>
      <c r="F262" s="348" t="inlineStr">
        <is>
          <t>2026-06-07</t>
        </is>
      </c>
      <c r="G262" s="348" t="inlineStr">
        <is>
          <t>2027-06-07</t>
        </is>
      </c>
      <c r="H262" s="348" t="inlineStr">
        <is>
          <t>Pass</t>
        </is>
      </c>
      <c r="I262" s="348" t="inlineStr">
        <is>
          <t>Traditional tort state; PIP is not required.</t>
        </is>
      </c>
    </row>
    <row r="263">
      <c r="A263" s="348" t="inlineStr">
        <is>
          <t>Vermont</t>
        </is>
      </c>
      <c r="B263" s="348" t="inlineStr">
        <is>
          <t>Policy Disclosure</t>
        </is>
      </c>
      <c r="C263" s="348" t="inlineStr">
        <is>
          <t>Court Rule / Case Authority</t>
        </is>
      </c>
      <c r="D263" s="348" t="inlineStr">
        <is>
          <t>Vt. R. Civ. P. 26(b)(2)</t>
        </is>
      </c>
      <c r="E263" s="348" t="inlineStr">
        <is>
          <t>https://www.vermontjudiciary.org/sites/default/files/documents/PROMULGATEDVRCP1_26_34%28b%29_37%28f%29_55%28c%29-DiscoveryRules.pdf</t>
        </is>
      </c>
      <c r="F263" s="348" t="inlineStr">
        <is>
          <t>2026-06-07</t>
        </is>
      </c>
      <c r="G263" s="348" t="inlineStr">
        <is>
          <t>2027-06-07</t>
        </is>
      </c>
      <c r="H263" s="348" t="inlineStr">
        <is>
          <t>Pass</t>
        </is>
      </c>
      <c r="I263" s="348" t="inlineStr">
        <is>
          <t>No identified statutory requirement for pre-suit disclosure of liability policy limits to third-party claimants. Insurance agreements are discoverable during litigation.</t>
        </is>
      </c>
    </row>
    <row r="264">
      <c r="A264" s="348" t="inlineStr">
        <is>
          <t>Vermont</t>
        </is>
      </c>
      <c r="B264" s="348" t="inlineStr">
        <is>
          <t>UM/UIM Rules</t>
        </is>
      </c>
      <c r="C264" s="348" t="inlineStr">
        <is>
          <t>Statute</t>
        </is>
      </c>
      <c r="D264" s="348" t="inlineStr">
        <is>
          <t>23 V.S.A. § 941</t>
        </is>
      </c>
      <c r="E264" s="348" t="inlineStr">
        <is>
          <t>https://legislature.vermont.gov/statutes/section/23/011/00941</t>
        </is>
      </c>
      <c r="F264" s="348" t="inlineStr">
        <is>
          <t>2026-06-07</t>
        </is>
      </c>
      <c r="G264" s="348" t="inlineStr">
        <is>
          <t>2027-06-07</t>
        </is>
      </c>
      <c r="H264" s="348" t="inlineStr">
        <is>
          <t>Pass</t>
        </is>
      </c>
      <c r="I264" s="348" t="inlineStr">
        <is>
          <t>Vermont requires coverage for uninsured, underinsured, and unknown motorists. Minimum UM/UIM limits are higher than basic liability minimums.</t>
        </is>
      </c>
    </row>
    <row r="265">
      <c r="A265" s="348" t="inlineStr">
        <is>
          <t>Virginia</t>
        </is>
      </c>
      <c r="B265" s="348" t="inlineStr">
        <is>
          <t>Bad Faith</t>
        </is>
      </c>
      <c r="C265" s="348" t="inlineStr">
        <is>
          <t>Statute</t>
        </is>
      </c>
      <c r="D265" s="348" t="inlineStr">
        <is>
          <t>Va. Code §§ 8.01-66.1, 38.2-209</t>
        </is>
      </c>
      <c r="E265" s="348" t="inlineStr">
        <is>
          <t>https://law.lis.virginia.gov/vacode/title8.01/chapter3/section8.01-66.1/</t>
        </is>
      </c>
      <c r="F265" s="348" t="inlineStr">
        <is>
          <t>2026-06-07</t>
        </is>
      </c>
      <c r="G265" s="348" t="inlineStr">
        <is>
          <t>2027-06-07</t>
        </is>
      </c>
      <c r="H265" s="348" t="inlineStr">
        <is>
          <t>Pass</t>
        </is>
      </c>
      <c r="I265" s="348" t="inlineStr">
        <is>
          <t>Virginia provides statutory bad-faith remedies in specified insurance and motor-vehicle claim contexts.</t>
        </is>
      </c>
    </row>
    <row r="266">
      <c r="A266" s="348" t="inlineStr">
        <is>
          <t>Virginia</t>
        </is>
      </c>
      <c r="B266" s="348" t="inlineStr">
        <is>
          <t>Claims Deadlines</t>
        </is>
      </c>
      <c r="C266" s="348" t="inlineStr">
        <is>
          <t>Administrative Code / Regulation</t>
        </is>
      </c>
      <c r="D266" s="348" t="inlineStr">
        <is>
          <t>14VAC5-400-50; 14VAC5-400-60; 14VAC5-400-70; Va. Code § 38.2-510(A)(2)-(6)</t>
        </is>
      </c>
      <c r="E266" s="348" t="inlineStr">
        <is>
          <t>https://law.lis.virginia.gov/admincodefull/title14/agency5/chapter400/</t>
        </is>
      </c>
      <c r="F266" s="348" t="inlineStr">
        <is>
          <t>2026-06-07</t>
        </is>
      </c>
      <c r="G266" s="348" t="inlineStr">
        <is>
          <t>2027-06-07</t>
        </is>
      </c>
      <c r="H266" s="348" t="inlineStr">
        <is>
          <t>Pass</t>
        </is>
      </c>
      <c r="I266" s="348" t="inlineStr">
        <is>
          <t>Virginia admin code sets fixed acknowledgment and proof-of-loss decision timing; statute supplies unfair-claim authority.</t>
        </is>
      </c>
    </row>
    <row r="267">
      <c r="A267" s="348" t="inlineStr">
        <is>
          <t>Virginia</t>
        </is>
      </c>
      <c r="B267" s="348" t="inlineStr">
        <is>
          <t>PIP / No-Fault</t>
        </is>
      </c>
      <c r="C267" s="348" t="inlineStr">
        <is>
          <t>Statute</t>
        </is>
      </c>
      <c r="D267" s="348" t="inlineStr">
        <is>
          <t>Va. Code § 46.2-472</t>
        </is>
      </c>
      <c r="E267" s="348" t="inlineStr">
        <is>
          <t>https://law.lis.virginia.gov/vacode/title46.2/chapter3/section46.2-472/</t>
        </is>
      </c>
      <c r="F267" s="348" t="inlineStr">
        <is>
          <t>2026-06-07</t>
        </is>
      </c>
      <c r="G267" s="348" t="inlineStr">
        <is>
          <t>2027-06-07</t>
        </is>
      </c>
      <c r="H267" s="348" t="inlineStr">
        <is>
          <t>Pass</t>
        </is>
      </c>
      <c r="I267" s="348" t="inlineStr">
        <is>
          <t>Traditional tort state; PIP is not required.</t>
        </is>
      </c>
    </row>
    <row r="268">
      <c r="A268" s="348" t="inlineStr">
        <is>
          <t>Virginia</t>
        </is>
      </c>
      <c r="B268" s="348" t="inlineStr">
        <is>
          <t>Policy Disclosure</t>
        </is>
      </c>
      <c r="C268" s="348" t="inlineStr">
        <is>
          <t>Statute</t>
        </is>
      </c>
      <c r="D268" s="348" t="inlineStr">
        <is>
          <t>Va. Code § 8.01-417</t>
        </is>
      </c>
      <c r="E268" s="348" t="inlineStr">
        <is>
          <t>https://law.lis.virginia.gov/vacode/title8.01/chapter14/section8.01-417/</t>
        </is>
      </c>
      <c r="F268" s="348" t="inlineStr">
        <is>
          <t>2026-06-07</t>
        </is>
      </c>
      <c r="G268" s="348" t="inlineStr">
        <is>
          <t>2027-06-07</t>
        </is>
      </c>
      <c r="H268" s="348" t="inlineStr">
        <is>
          <t>Pass</t>
        </is>
      </c>
      <c r="I268" s="348" t="inlineStr">
        <is>
          <t>Motor-vehicle disclosure applies after statutory claim information and either $12,500 in medical bills/wage losses or specified criminal charges; insurer must respond even if it contests policy applicability.</t>
        </is>
      </c>
    </row>
    <row r="269">
      <c r="A269" s="348" t="inlineStr">
        <is>
          <t>Virginia</t>
        </is>
      </c>
      <c r="B269" s="348" t="inlineStr">
        <is>
          <t>UM/UIM Rules</t>
        </is>
      </c>
      <c r="C269" s="348" t="inlineStr">
        <is>
          <t>Statute</t>
        </is>
      </c>
      <c r="D269" s="348" t="inlineStr">
        <is>
          <t>Va. Code § 38.2-2206</t>
        </is>
      </c>
      <c r="E269" s="348" t="inlineStr">
        <is>
          <t>https://law.lis.virginia.gov/vacode/title38.2/chapter22/section38.2-2206/</t>
        </is>
      </c>
      <c r="F269" s="348" t="inlineStr">
        <is>
          <t>2026-06-07</t>
        </is>
      </c>
      <c r="G269" s="348" t="inlineStr">
        <is>
          <t>2027-06-07</t>
        </is>
      </c>
      <c r="H269" s="348" t="inlineStr">
        <is>
          <t>Pass</t>
        </is>
      </c>
      <c r="I269" s="348" t="inlineStr">
        <is>
          <t>Virginia requires UM/UIM coverage in motor vehicle policies and provides priority rules when more than one policy may apply.</t>
        </is>
      </c>
    </row>
    <row r="270">
      <c r="A270" s="348" t="inlineStr">
        <is>
          <t>Washington</t>
        </is>
      </c>
      <c r="B270" s="348" t="inlineStr">
        <is>
          <t>Bad Faith</t>
        </is>
      </c>
      <c r="C270" s="348" t="inlineStr">
        <is>
          <t>Authority / Verify Type</t>
        </is>
      </c>
      <c r="D270" s="348" t="inlineStr">
        <is>
          <t>RCW 48.30.015; RCW 48.01.030</t>
        </is>
      </c>
      <c r="E270" s="348" t="inlineStr">
        <is>
          <t>https://app.leg.wa.gov/rcw/default.aspx?cite=48.30.015</t>
        </is>
      </c>
      <c r="F270" s="348" t="inlineStr">
        <is>
          <t>2026-06-07</t>
        </is>
      </c>
      <c r="G270" s="348" t="inlineStr">
        <is>
          <t>2027-06-07</t>
        </is>
      </c>
      <c r="H270" s="348" t="inlineStr">
        <is>
          <t>Pass</t>
        </is>
      </c>
      <c r="I270" s="348" t="inlineStr">
        <is>
          <t>Washington recognizes common-law and statutory first-party insurer bad-faith remedies; third-party claimant rights are limited.</t>
        </is>
      </c>
    </row>
    <row r="271">
      <c r="A271" s="348" t="inlineStr">
        <is>
          <t>Washington</t>
        </is>
      </c>
      <c r="B271" s="348" t="inlineStr">
        <is>
          <t>Claims Deadlines</t>
        </is>
      </c>
      <c r="C271" s="348" t="inlineStr">
        <is>
          <t>Administrative Code / Regulation</t>
        </is>
      </c>
      <c r="D271" s="348" t="inlineStr">
        <is>
          <t>WAC 284-30-360; WAC 284-30-370; WAC 284-30-380</t>
        </is>
      </c>
      <c r="E271" s="348" t="inlineStr">
        <is>
          <t>https://app.leg.wa.gov/WAC/default.aspx?cite=284-30-360</t>
        </is>
      </c>
      <c r="F271" s="348" t="inlineStr">
        <is>
          <t>2026-06-07</t>
        </is>
      </c>
      <c r="G271" s="348" t="inlineStr">
        <is>
          <t>2027-06-07</t>
        </is>
      </c>
      <c r="H271" s="348" t="inlineStr">
        <is>
          <t>Pass</t>
        </is>
      </c>
      <c r="I271" s="348" t="inlineStr">
        <is>
          <t>Washington sets fixed acknowledgment, investigation, proof-of-loss decision, delay-update, and payment standards.</t>
        </is>
      </c>
    </row>
    <row r="272">
      <c r="A272" s="348" t="inlineStr">
        <is>
          <t>Washington</t>
        </is>
      </c>
      <c r="B272" s="348" t="inlineStr">
        <is>
          <t>PIP / No-Fault</t>
        </is>
      </c>
      <c r="C272" s="348" t="inlineStr">
        <is>
          <t>Statute</t>
        </is>
      </c>
      <c r="D272" s="348" t="inlineStr">
        <is>
          <t>RCW §§ 48.22.095; 48.22.100</t>
        </is>
      </c>
      <c r="E272" s="348" t="inlineStr">
        <is>
          <t>https://app.leg.wa.gov/rcw/default.aspx?cite=48.22.095</t>
        </is>
      </c>
      <c r="F272" s="348" t="inlineStr">
        <is>
          <t>2026-06-07</t>
        </is>
      </c>
      <c r="G272" s="348" t="inlineStr">
        <is>
          <t>2027-06-07</t>
        </is>
      </c>
      <c r="H272" s="348" t="inlineStr">
        <is>
          <t>Pass</t>
        </is>
      </c>
      <c r="I272" s="348" t="inlineStr">
        <is>
          <t>Insurers must offer PIP coverage; it is optional and does not create a no-fault tort threshold.</t>
        </is>
      </c>
    </row>
    <row r="273">
      <c r="A273" s="348" t="inlineStr">
        <is>
          <t>Washington</t>
        </is>
      </c>
      <c r="B273" s="348" t="inlineStr">
        <is>
          <t>Policy Disclosure</t>
        </is>
      </c>
      <c r="C273" s="348" t="inlineStr">
        <is>
          <t>Court Rule / Case Authority</t>
        </is>
      </c>
      <c r="D273" s="348" t="inlineStr">
        <is>
          <t>Wash. CR 26(b)(2)</t>
        </is>
      </c>
      <c r="E273" s="348" t="inlineStr">
        <is>
          <t>https://www.courts.wa.gov/court_rules/?fa=court_rules.display&amp;group=sup&amp;ruleid=supcr26&amp;set=cr</t>
        </is>
      </c>
      <c r="F273" s="348" t="inlineStr">
        <is>
          <t>2026-06-07</t>
        </is>
      </c>
      <c r="G273" s="348" t="inlineStr">
        <is>
          <t>2027-06-07</t>
        </is>
      </c>
      <c r="H273" s="348" t="inlineStr">
        <is>
          <t>Pass</t>
        </is>
      </c>
      <c r="I273" s="348" t="inlineStr">
        <is>
          <t>No identified statutory requirement for pre-suit disclosure of liability policy limits to third-party claimants. Insurance agreements are discoverable during litigation.</t>
        </is>
      </c>
    </row>
    <row r="274">
      <c r="A274" s="348" t="inlineStr">
        <is>
          <t>Washington</t>
        </is>
      </c>
      <c r="B274" s="348" t="inlineStr">
        <is>
          <t>UM/UIM Rules</t>
        </is>
      </c>
      <c r="C274" s="348" t="inlineStr">
        <is>
          <t>Statute</t>
        </is>
      </c>
      <c r="D274" s="348" t="inlineStr">
        <is>
          <t>RCW § 48.22.030</t>
        </is>
      </c>
      <c r="E274" s="348" t="inlineStr">
        <is>
          <t>https://app.leg.wa.gov/rcw/default.aspx?cite=48.22.030</t>
        </is>
      </c>
      <c r="F274" s="348" t="inlineStr">
        <is>
          <t>2026-06-07</t>
        </is>
      </c>
      <c r="G274" s="348" t="inlineStr">
        <is>
          <t>2027-06-07</t>
        </is>
      </c>
      <c r="H274" s="348" t="inlineStr">
        <is>
          <t>Pass</t>
        </is>
      </c>
      <c r="I274" s="348" t="inlineStr">
        <is>
          <t>Washington requires UM/UIM coverage to be provided unless rejected by the named insured. The statute restricts stacking in important circumstances.</t>
        </is>
      </c>
    </row>
    <row r="275">
      <c r="A275" s="348" t="inlineStr">
        <is>
          <t>West Virginia</t>
        </is>
      </c>
      <c r="B275" s="348" t="inlineStr">
        <is>
          <t>Bad Faith</t>
        </is>
      </c>
      <c r="C275" s="348" t="inlineStr">
        <is>
          <t>Court Rule / Case Authority</t>
        </is>
      </c>
      <c r="D275" s="348" t="inlineStr">
        <is>
          <t>W. Va. Code § 33-11-4a; Jenkins v. J.C. Penney Casualty Ins. Co.</t>
        </is>
      </c>
      <c r="E275" s="348" t="inlineStr">
        <is>
          <t>https://code.wvlegislature.gov/33-11-4A/</t>
        </is>
      </c>
      <c r="F275" s="348" t="inlineStr">
        <is>
          <t>2026-06-07</t>
        </is>
      </c>
      <c r="G275" s="348" t="inlineStr">
        <is>
          <t>2027-06-07</t>
        </is>
      </c>
      <c r="H275" s="348" t="inlineStr">
        <is>
          <t>Pass</t>
        </is>
      </c>
      <c r="I275" s="348" t="inlineStr">
        <is>
          <t>West Virginia provides statutory unfair-claims remedies; third-party rights are limited and procedure-dependent.</t>
        </is>
      </c>
    </row>
    <row r="276">
      <c r="A276" s="348" t="inlineStr">
        <is>
          <t>West Virginia</t>
        </is>
      </c>
      <c r="B276" s="348" t="inlineStr">
        <is>
          <t>Claims Deadlines</t>
        </is>
      </c>
      <c r="C276" s="348" t="inlineStr">
        <is>
          <t>Administrative Code / Regulation</t>
        </is>
      </c>
      <c r="D276" s="348" t="inlineStr">
        <is>
          <t>W. Va. Code R. §§ 114-14-5, 114-14-6</t>
        </is>
      </c>
      <c r="E276" s="348" t="inlineStr">
        <is>
          <t>https://www.wvinsurance.gov/LinkClick.aspx?fileticket=HeCI8XRvGoM%3D&amp;mid=886&amp;portalid=0&amp;tabid=329</t>
        </is>
      </c>
      <c r="F276" s="348" t="inlineStr">
        <is>
          <t>2026-06-07</t>
        </is>
      </c>
      <c r="G276" s="348" t="inlineStr">
        <is>
          <t>2027-06-07</t>
        </is>
      </c>
      <c r="H276" s="348" t="inlineStr">
        <is>
          <t>Pass</t>
        </is>
      </c>
      <c r="I276" s="348" t="inlineStr">
        <is>
          <t>Insurers must acknowledge within 15 working days, commence investigation within 15 working days, and pay settlements within 15 working days.</t>
        </is>
      </c>
    </row>
    <row r="277">
      <c r="A277" s="348" t="inlineStr">
        <is>
          <t>West Virginia</t>
        </is>
      </c>
      <c r="B277" s="348" t="inlineStr">
        <is>
          <t>PIP / No-Fault</t>
        </is>
      </c>
      <c r="C277" s="348" t="inlineStr">
        <is>
          <t>Statute</t>
        </is>
      </c>
      <c r="D277" s="348" t="inlineStr">
        <is>
          <t>W. Va. Code § 17D-4-2</t>
        </is>
      </c>
      <c r="E277" s="348" t="inlineStr">
        <is>
          <t>https://code.wvlegislature.gov/17D-4-2/</t>
        </is>
      </c>
      <c r="F277" s="348" t="inlineStr">
        <is>
          <t>2026-06-07</t>
        </is>
      </c>
      <c r="G277" s="348" t="inlineStr">
        <is>
          <t>2027-06-07</t>
        </is>
      </c>
      <c r="H277" s="348" t="inlineStr">
        <is>
          <t>Pass</t>
        </is>
      </c>
      <c r="I277" s="348" t="inlineStr">
        <is>
          <t>Traditional tort state; PIP is not required.</t>
        </is>
      </c>
    </row>
    <row r="278">
      <c r="A278" s="348" t="inlineStr">
        <is>
          <t>West Virginia</t>
        </is>
      </c>
      <c r="B278" s="348" t="inlineStr">
        <is>
          <t>Policy Disclosure</t>
        </is>
      </c>
      <c r="C278" s="348" t="inlineStr">
        <is>
          <t>Statute</t>
        </is>
      </c>
      <c r="D278" s="348" t="inlineStr">
        <is>
          <t>W. Va. Code § 33-6F-2</t>
        </is>
      </c>
      <c r="E278" s="348" t="inlineStr">
        <is>
          <t>https://code.wvlegislature.gov/33-6F-2/</t>
        </is>
      </c>
      <c r="F278" s="348" t="inlineStr">
        <is>
          <t>2026-06-07</t>
        </is>
      </c>
      <c r="G278" s="348" t="inlineStr">
        <is>
          <t>2027-06-07</t>
        </is>
      </c>
      <c r="H278" s="348" t="inlineStr">
        <is>
          <t>Pass</t>
        </is>
      </c>
      <c r="I278" s="348" t="inlineStr">
        <is>
          <t>Statute requires disclosure of liability limits and applicable excess or umbrella coverage information.</t>
        </is>
      </c>
    </row>
    <row r="279">
      <c r="A279" s="348" t="inlineStr">
        <is>
          <t>West Virginia</t>
        </is>
      </c>
      <c r="B279" s="348" t="inlineStr">
        <is>
          <t>UM/UIM Rules</t>
        </is>
      </c>
      <c r="C279" s="348" t="inlineStr">
        <is>
          <t>Statute</t>
        </is>
      </c>
      <c r="D279" s="348" t="inlineStr">
        <is>
          <t>W. Va. Code §§ 33-6-31; 33-6-31d</t>
        </is>
      </c>
      <c r="E279" s="348" t="inlineStr">
        <is>
          <t>https://code.wvlegislature.gov/33-6-31/</t>
        </is>
      </c>
      <c r="F279" s="348" t="inlineStr">
        <is>
          <t>2026-06-07</t>
        </is>
      </c>
      <c r="G279" s="348" t="inlineStr">
        <is>
          <t>2027-06-07</t>
        </is>
      </c>
      <c r="H279" s="348" t="inlineStr">
        <is>
          <t>Pass</t>
        </is>
      </c>
      <c r="I279" s="348" t="inlineStr">
        <is>
          <t>West Virginia requires UM coverage and requires optional UM/UIM limits to be made available through the statutory offer form process.</t>
        </is>
      </c>
    </row>
    <row r="280">
      <c r="A280" s="348" t="inlineStr">
        <is>
          <t>Wisconsin</t>
        </is>
      </c>
      <c r="B280" s="348" t="inlineStr">
        <is>
          <t>Bad Faith</t>
        </is>
      </c>
      <c r="C280" s="348" t="inlineStr">
        <is>
          <t>Court Rule / Case Authority</t>
        </is>
      </c>
      <c r="D280" s="348" t="inlineStr">
        <is>
          <t>Anderson v. Continental Ins. Co.; Wis. Stat. § 628.46</t>
        </is>
      </c>
      <c r="E280" s="348" t="inlineStr">
        <is>
          <t>https://docs.legis.wisconsin.gov/statutes/statutes/628/46</t>
        </is>
      </c>
      <c r="F280" s="348" t="inlineStr">
        <is>
          <t>2026-06-07</t>
        </is>
      </c>
      <c r="G280" s="348" t="inlineStr">
        <is>
          <t>2027-06-07</t>
        </is>
      </c>
      <c r="H280" s="348" t="inlineStr">
        <is>
          <t>Pass</t>
        </is>
      </c>
      <c r="I280" s="348" t="inlineStr">
        <is>
          <t>Wisconsin recognizes first-party insurer bad faith; prompt-payment interest may also apply to covered claims.</t>
        </is>
      </c>
    </row>
    <row r="281">
      <c r="A281" s="348" t="inlineStr">
        <is>
          <t>Wisconsin</t>
        </is>
      </c>
      <c r="B281" s="348" t="inlineStr">
        <is>
          <t>Claims Deadlines</t>
        </is>
      </c>
      <c r="C281" s="348" t="inlineStr">
        <is>
          <t>Administrative Code / Regulation</t>
        </is>
      </c>
      <c r="D281" s="348" t="inlineStr">
        <is>
          <t>Wis. Admin. Code Ins § 6.11; Wis. Stat. § 628.46</t>
        </is>
      </c>
      <c r="E281" s="348" t="inlineStr">
        <is>
          <t>https://docs.legis.wisconsin.gov/code/admin_code/ins/6/11</t>
        </is>
      </c>
      <c r="F281" s="348" t="inlineStr">
        <is>
          <t>2026-06-07</t>
        </is>
      </c>
      <c r="G281" s="348" t="inlineStr">
        <is>
          <t>2027-06-07</t>
        </is>
      </c>
      <c r="H281" s="348" t="inlineStr">
        <is>
          <t>Pass</t>
        </is>
      </c>
      <c r="I281" s="348" t="inlineStr">
        <is>
          <t>Wisconsin requires claim acknowledgment within 10 days and payment within 30 days once covered loss and amount are established.</t>
        </is>
      </c>
    </row>
    <row r="282">
      <c r="A282" s="348" t="inlineStr">
        <is>
          <t>Wisconsin</t>
        </is>
      </c>
      <c r="B282" s="348" t="inlineStr">
        <is>
          <t>PIP / No-Fault</t>
        </is>
      </c>
      <c r="C282" s="348" t="inlineStr">
        <is>
          <t>Statute</t>
        </is>
      </c>
      <c r="D282" s="348" t="inlineStr">
        <is>
          <t>Wis. Stat. § 344.62</t>
        </is>
      </c>
      <c r="E282" s="348" t="inlineStr">
        <is>
          <t>https://docs.legis.wisconsin.gov/statutes/statutes/344/vi/62</t>
        </is>
      </c>
      <c r="F282" s="348" t="inlineStr">
        <is>
          <t>2026-06-07</t>
        </is>
      </c>
      <c r="G282" s="348" t="inlineStr">
        <is>
          <t>2027-06-07</t>
        </is>
      </c>
      <c r="H282" s="348" t="inlineStr">
        <is>
          <t>Pass</t>
        </is>
      </c>
      <c r="I282" s="348" t="inlineStr">
        <is>
          <t>Traditional tort state; PIP is not required.</t>
        </is>
      </c>
    </row>
    <row r="283">
      <c r="A283" s="348" t="inlineStr">
        <is>
          <t>Wisconsin</t>
        </is>
      </c>
      <c r="B283" s="348" t="inlineStr">
        <is>
          <t>Policy Disclosure</t>
        </is>
      </c>
      <c r="C283" s="348" t="inlineStr">
        <is>
          <t>Statute</t>
        </is>
      </c>
      <c r="D283" s="348" t="inlineStr">
        <is>
          <t>Wis. Stat. § 804.01(2)(b)</t>
        </is>
      </c>
      <c r="E283" s="348" t="inlineStr">
        <is>
          <t>https://docs.legis.wisconsin.gov/document/statutes/804.01%282%29%28b%29</t>
        </is>
      </c>
      <c r="F283" s="348" t="inlineStr">
        <is>
          <t>2026-06-07</t>
        </is>
      </c>
      <c r="G283" s="348" t="inlineStr">
        <is>
          <t>2027-06-07</t>
        </is>
      </c>
      <c r="H283" s="348" t="inlineStr">
        <is>
          <t>Pass</t>
        </is>
      </c>
      <c r="I283" s="348" t="inlineStr">
        <is>
          <t>No identified statutory requirement for pre-suit disclosure of liability policy limits to third-party claimants. Insurance agreements are discoverable during litigation.</t>
        </is>
      </c>
    </row>
    <row r="284">
      <c r="A284" s="348" t="inlineStr">
        <is>
          <t>Wisconsin</t>
        </is>
      </c>
      <c r="B284" s="348" t="inlineStr">
        <is>
          <t>UM/UIM Rules</t>
        </is>
      </c>
      <c r="C284" s="348" t="inlineStr">
        <is>
          <t>Statute</t>
        </is>
      </c>
      <c r="D284" s="348" t="inlineStr">
        <is>
          <t>Wis. Stat. § 632.32</t>
        </is>
      </c>
      <c r="E284" s="348" t="inlineStr">
        <is>
          <t>https://docs.legis.wisconsin.gov/document/statutes/632.32</t>
        </is>
      </c>
      <c r="F284" s="348" t="inlineStr">
        <is>
          <t>2026-06-07</t>
        </is>
      </c>
      <c r="G284" s="348" t="inlineStr">
        <is>
          <t>2027-06-07</t>
        </is>
      </c>
      <c r="H284" s="348" t="inlineStr">
        <is>
          <t>Pass</t>
        </is>
      </c>
      <c r="I284" s="348" t="inlineStr">
        <is>
          <t>Wisconsin requires UM coverage. UIM is optional with notice of availability; current law generally permits anti-stacking language.</t>
        </is>
      </c>
    </row>
    <row r="285">
      <c r="A285" s="348" t="inlineStr">
        <is>
          <t>Wyoming</t>
        </is>
      </c>
      <c r="B285" s="348" t="inlineStr">
        <is>
          <t>Bad Faith</t>
        </is>
      </c>
      <c r="C285" s="348" t="inlineStr">
        <is>
          <t>Court Rule / Case Authority</t>
        </is>
      </c>
      <c r="D285" s="348" t="inlineStr">
        <is>
          <t>Herrig v. Herrig</t>
        </is>
      </c>
      <c r="E285" s="348" t="inlineStr">
        <is>
          <t>https://law.justia.com/cases/wyoming/supreme-court/1992/122987.html</t>
        </is>
      </c>
      <c r="F285" s="348" t="inlineStr">
        <is>
          <t>2026-06-07</t>
        </is>
      </c>
      <c r="G285" s="348" t="inlineStr">
        <is>
          <t>2027-06-07</t>
        </is>
      </c>
      <c r="H285" s="348" t="inlineStr">
        <is>
          <t>Pass</t>
        </is>
      </c>
      <c r="I285" s="348" t="inlineStr">
        <is>
          <t>Wyoming recognizes first-party insurer bad faith; direct third-party claimant actions against insurers are limited.</t>
        </is>
      </c>
    </row>
    <row r="286">
      <c r="A286" s="348" t="inlineStr">
        <is>
          <t>Wyoming</t>
        </is>
      </c>
      <c r="B286" s="348" t="inlineStr">
        <is>
          <t>Claims Deadlines</t>
        </is>
      </c>
      <c r="C286" s="348" t="inlineStr">
        <is>
          <t>Statute</t>
        </is>
      </c>
      <c r="D286" s="348" t="inlineStr">
        <is>
          <t>Wyo. Stat. Ann. § 26-13-124(a)(ii)-(vi)</t>
        </is>
      </c>
      <c r="E286" s="348" t="inlineStr">
        <is>
          <t>https://wyoleg.gov/statutes/compress/title26.pdf</t>
        </is>
      </c>
      <c r="F286" s="348" t="inlineStr">
        <is>
          <t>2026-06-07</t>
        </is>
      </c>
      <c r="G286" s="348" t="inlineStr">
        <is>
          <t>2027-06-07</t>
        </is>
      </c>
      <c r="H286" s="348" t="inlineStr">
        <is>
          <t>Pass</t>
        </is>
      </c>
      <c r="I286" s="348" t="inlineStr">
        <is>
          <t>Wyoming uses reasonably prompt/prompt unfair-claims standards rather than fixed general day counts.</t>
        </is>
      </c>
    </row>
    <row r="287">
      <c r="A287" s="348" t="inlineStr">
        <is>
          <t>Wyoming</t>
        </is>
      </c>
      <c r="B287" s="348" t="inlineStr">
        <is>
          <t>PIP / No-Fault</t>
        </is>
      </c>
      <c r="C287" s="348" t="inlineStr">
        <is>
          <t>Statute</t>
        </is>
      </c>
      <c r="D287" s="348" t="inlineStr">
        <is>
          <t>Wyo. Stat. § 31-9-405</t>
        </is>
      </c>
      <c r="E287" s="348" t="inlineStr">
        <is>
          <t>https://wyoleg.gov/statutes/compress/title31.pdf</t>
        </is>
      </c>
      <c r="F287" s="348" t="inlineStr">
        <is>
          <t>2026-06-07</t>
        </is>
      </c>
      <c r="G287" s="348" t="inlineStr">
        <is>
          <t>2027-06-07</t>
        </is>
      </c>
      <c r="H287" s="348" t="inlineStr">
        <is>
          <t>Pass</t>
        </is>
      </c>
      <c r="I287" s="348" t="inlineStr">
        <is>
          <t>Traditional tort state; PIP is not required.</t>
        </is>
      </c>
    </row>
    <row r="288">
      <c r="A288" s="348" t="inlineStr">
        <is>
          <t>Wyoming</t>
        </is>
      </c>
      <c r="B288" s="348" t="inlineStr">
        <is>
          <t>Policy Disclosure</t>
        </is>
      </c>
      <c r="C288" s="348" t="inlineStr">
        <is>
          <t>Court Rule / Case Authority</t>
        </is>
      </c>
      <c r="D288" s="348" t="inlineStr">
        <is>
          <t>Wyo. R. Civ. P. 26(a)(1)(A)(iv)</t>
        </is>
      </c>
      <c r="E288" s="348" t="inlineStr">
        <is>
          <t>https://www.wyocourts.gov/app/uploads/2025/01/Wyoming-Rules-of-Civil-Procedure-August-2024.pdf</t>
        </is>
      </c>
      <c r="F288" s="348" t="inlineStr">
        <is>
          <t>2026-06-07</t>
        </is>
      </c>
      <c r="G288" s="348" t="inlineStr">
        <is>
          <t>2027-06-07</t>
        </is>
      </c>
      <c r="H288" s="348" t="inlineStr">
        <is>
          <t>Pass</t>
        </is>
      </c>
      <c r="I288" s="348" t="inlineStr">
        <is>
          <t>No identified statutory requirement for pre-suit disclosure of liability policy limits to third-party claimants. Insurance agreements are disclosed during litigation.</t>
        </is>
      </c>
    </row>
    <row r="289">
      <c r="A289" s="348" t="inlineStr">
        <is>
          <t>Wyoming</t>
        </is>
      </c>
      <c r="B289" s="348" t="inlineStr">
        <is>
          <t>UM/UIM Rules</t>
        </is>
      </c>
      <c r="C289" s="348" t="inlineStr">
        <is>
          <t>Statute</t>
        </is>
      </c>
      <c r="D289" s="348" t="inlineStr">
        <is>
          <t>Wyo. Stat. § 31-10-101</t>
        </is>
      </c>
      <c r="E289" s="348" t="inlineStr">
        <is>
          <t>https://law.justia.com/codes/wyoming/title-31/chapter-10/section-31-10-101/</t>
        </is>
      </c>
      <c r="F289" s="348" t="inlineStr">
        <is>
          <t>2026-06-07</t>
        </is>
      </c>
      <c r="G289" s="348" t="inlineStr">
        <is>
          <t>2027-06-07</t>
        </is>
      </c>
      <c r="H289" s="348" t="inlineStr">
        <is>
          <t>Pass</t>
        </is>
      </c>
      <c r="I289" s="348" t="inlineStr">
        <is>
          <t>Wyoming requires UM coverage unless rejected by the named insured. UIM coverage is not generally required by statute.</t>
        </is>
      </c>
    </row>
    <row r="290">
      <c r="A290" s="348" t="n"/>
      <c r="B290" s="348" t="n"/>
      <c r="C290" s="348" t="n"/>
      <c r="D290" s="348" t="n"/>
      <c r="E290" s="348" t="n"/>
      <c r="F290" s="348" t="n"/>
      <c r="G290" s="348" t="n"/>
      <c r="H290" s="348" t="n"/>
      <c r="I290" s="348" t="n"/>
    </row>
    <row r="291">
      <c r="A291" s="348" t="n"/>
      <c r="B291" s="348" t="n"/>
      <c r="C291" s="348" t="n"/>
      <c r="D291" s="348" t="n"/>
      <c r="E291" s="348" t="n"/>
      <c r="F291" s="348" t="n"/>
      <c r="G291" s="348" t="n"/>
      <c r="H291" s="348" t="n"/>
      <c r="I291" s="348" t="n"/>
    </row>
    <row r="292">
      <c r="A292" s="348" t="n"/>
      <c r="B292" s="348" t="n"/>
      <c r="C292" s="348" t="n"/>
      <c r="D292" s="348" t="n"/>
      <c r="E292" s="348" t="n"/>
      <c r="F292" s="348" t="n"/>
      <c r="G292" s="348" t="n"/>
      <c r="H292" s="348" t="n"/>
      <c r="I292" s="348" t="n"/>
    </row>
    <row r="293">
      <c r="A293" s="348" t="n"/>
      <c r="B293" s="348" t="n"/>
      <c r="C293" s="348" t="n"/>
      <c r="D293" s="348" t="n"/>
      <c r="E293" s="348" t="n"/>
      <c r="F293" s="348" t="n"/>
      <c r="G293" s="348" t="n"/>
      <c r="H293" s="348" t="n"/>
      <c r="I293" s="348" t="n"/>
    </row>
    <row r="294">
      <c r="A294" s="348" t="n"/>
      <c r="B294" s="348" t="n"/>
      <c r="C294" s="348" t="n"/>
      <c r="D294" s="348" t="n"/>
      <c r="E294" s="348" t="n"/>
      <c r="F294" s="348" t="n"/>
      <c r="G294" s="348" t="n"/>
      <c r="H294" s="348" t="n"/>
      <c r="I294" s="348" t="n"/>
    </row>
    <row r="295">
      <c r="A295" s="348" t="n"/>
      <c r="B295" s="348" t="n"/>
      <c r="C295" s="348" t="n"/>
      <c r="D295" s="348" t="n"/>
      <c r="E295" s="348" t="n"/>
      <c r="F295" s="348" t="n"/>
      <c r="G295" s="348" t="n"/>
      <c r="H295" s="348" t="n"/>
      <c r="I295" s="348" t="n"/>
    </row>
    <row r="296">
      <c r="A296" s="348" t="n"/>
      <c r="B296" s="348" t="n"/>
      <c r="C296" s="348" t="n"/>
      <c r="D296" s="348" t="n"/>
      <c r="E296" s="348" t="n"/>
      <c r="F296" s="348" t="n"/>
      <c r="G296" s="348" t="n"/>
      <c r="H296" s="348" t="n"/>
      <c r="I296" s="348" t="n"/>
    </row>
    <row r="297">
      <c r="A297" s="348" t="n"/>
      <c r="B297" s="348" t="n"/>
      <c r="C297" s="348" t="n"/>
      <c r="D297" s="348" t="n"/>
      <c r="E297" s="348" t="n"/>
      <c r="F297" s="348" t="n"/>
      <c r="G297" s="348" t="n"/>
      <c r="H297" s="348" t="n"/>
      <c r="I297" s="348" t="n"/>
    </row>
    <row r="298">
      <c r="A298" s="348" t="n"/>
      <c r="B298" s="348" t="n"/>
      <c r="C298" s="348" t="n"/>
      <c r="D298" s="348" t="n"/>
      <c r="E298" s="348" t="n"/>
      <c r="F298" s="348" t="n"/>
      <c r="G298" s="348" t="n"/>
      <c r="H298" s="348" t="n"/>
      <c r="I298" s="348" t="n"/>
    </row>
    <row r="299">
      <c r="A299" s="348" t="n"/>
      <c r="B299" s="348" t="n"/>
      <c r="C299" s="348" t="n"/>
      <c r="D299" s="348" t="n"/>
      <c r="E299" s="348" t="n"/>
      <c r="F299" s="348" t="n"/>
      <c r="G299" s="348" t="n"/>
      <c r="H299" s="348" t="n"/>
      <c r="I299" s="348" t="n"/>
    </row>
    <row r="300">
      <c r="A300" s="348" t="n"/>
      <c r="B300" s="348" t="n"/>
      <c r="C300" s="348" t="n"/>
      <c r="D300" s="348" t="n"/>
      <c r="E300" s="348" t="n"/>
      <c r="F300" s="348" t="n"/>
      <c r="G300" s="348" t="n"/>
      <c r="H300" s="348" t="n"/>
      <c r="I300" s="348" t="n"/>
    </row>
    <row r="301">
      <c r="A301" s="348" t="n"/>
      <c r="B301" s="348" t="n"/>
      <c r="C301" s="348" t="n"/>
      <c r="D301" s="348" t="n"/>
      <c r="E301" s="348" t="n"/>
      <c r="F301" s="348" t="n"/>
      <c r="G301" s="348" t="n"/>
      <c r="H301" s="348" t="n"/>
      <c r="I301" s="348" t="n"/>
    </row>
    <row r="302">
      <c r="A302" s="348" t="n"/>
      <c r="B302" s="348" t="n"/>
      <c r="C302" s="348" t="n"/>
      <c r="D302" s="348" t="n"/>
      <c r="E302" s="348" t="n"/>
      <c r="F302" s="348" t="n"/>
      <c r="G302" s="348" t="n"/>
      <c r="H302" s="348" t="n"/>
      <c r="I302" s="348" t="n"/>
    </row>
    <row r="303">
      <c r="A303" s="348" t="n"/>
      <c r="B303" s="348" t="n"/>
      <c r="C303" s="348" t="n"/>
      <c r="D303" s="348" t="n"/>
      <c r="E303" s="348" t="n"/>
      <c r="F303" s="348" t="n"/>
      <c r="G303" s="348" t="n"/>
      <c r="H303" s="348" t="n"/>
      <c r="I303" s="348" t="n"/>
    </row>
    <row r="304">
      <c r="A304" s="348" t="n"/>
      <c r="B304" s="348" t="n"/>
      <c r="C304" s="348" t="n"/>
      <c r="D304" s="348" t="n"/>
      <c r="E304" s="348" t="n"/>
      <c r="F304" s="348" t="n"/>
      <c r="G304" s="348" t="n"/>
      <c r="H304" s="348" t="n"/>
      <c r="I304" s="348" t="n"/>
    </row>
    <row r="305">
      <c r="A305" s="348" t="n"/>
      <c r="B305" s="348" t="n"/>
      <c r="C305" s="348" t="n"/>
      <c r="D305" s="348" t="n"/>
      <c r="E305" s="348" t="n"/>
      <c r="F305" s="348" t="n"/>
      <c r="G305" s="348" t="n"/>
      <c r="H305" s="348" t="n"/>
      <c r="I305" s="348" t="n"/>
    </row>
    <row r="306">
      <c r="A306" s="348" t="n"/>
      <c r="B306" s="348" t="n"/>
      <c r="C306" s="348" t="n"/>
      <c r="D306" s="348" t="n"/>
      <c r="E306" s="348" t="n"/>
      <c r="F306" s="348" t="n"/>
      <c r="G306" s="348" t="n"/>
      <c r="H306" s="348" t="n"/>
      <c r="I306" s="348" t="n"/>
    </row>
    <row r="307">
      <c r="A307" s="348" t="n"/>
      <c r="B307" s="348" t="n"/>
      <c r="C307" s="348" t="n"/>
      <c r="D307" s="348" t="n"/>
      <c r="E307" s="348" t="n"/>
      <c r="F307" s="348" t="n"/>
      <c r="G307" s="348" t="n"/>
      <c r="H307" s="348" t="n"/>
      <c r="I307" s="348" t="n"/>
    </row>
    <row r="308">
      <c r="A308" s="348" t="n"/>
      <c r="B308" s="348" t="n"/>
      <c r="C308" s="348" t="n"/>
      <c r="D308" s="348" t="n"/>
      <c r="E308" s="348" t="n"/>
      <c r="F308" s="348" t="n"/>
      <c r="G308" s="348" t="n"/>
      <c r="H308" s="348" t="n"/>
      <c r="I308" s="348" t="n"/>
    </row>
    <row r="309">
      <c r="A309" s="348" t="n"/>
      <c r="B309" s="348" t="n"/>
      <c r="C309" s="348" t="n"/>
      <c r="D309" s="348" t="n"/>
      <c r="E309" s="348" t="n"/>
      <c r="F309" s="348" t="n"/>
      <c r="G309" s="348" t="n"/>
      <c r="H309" s="348" t="n"/>
      <c r="I309" s="348" t="n"/>
    </row>
    <row r="310">
      <c r="A310" s="348" t="n"/>
      <c r="B310" s="348" t="n"/>
      <c r="C310" s="348" t="n"/>
      <c r="D310" s="348" t="n"/>
      <c r="E310" s="348" t="n"/>
      <c r="F310" s="348" t="n"/>
      <c r="G310" s="348" t="n"/>
      <c r="H310" s="348" t="n"/>
      <c r="I310" s="348" t="n"/>
    </row>
    <row r="311">
      <c r="A311" s="348" t="n"/>
      <c r="B311" s="348" t="n"/>
      <c r="C311" s="348" t="n"/>
      <c r="D311" s="348" t="n"/>
      <c r="E311" s="348" t="n"/>
      <c r="F311" s="348" t="n"/>
      <c r="G311" s="348" t="n"/>
      <c r="H311" s="348" t="n"/>
      <c r="I311" s="348" t="n"/>
    </row>
    <row r="312">
      <c r="A312" s="348" t="n"/>
      <c r="B312" s="348" t="n"/>
      <c r="C312" s="348" t="n"/>
      <c r="D312" s="348" t="n"/>
      <c r="E312" s="348" t="n"/>
      <c r="F312" s="348" t="n"/>
      <c r="G312" s="348" t="n"/>
      <c r="H312" s="348" t="n"/>
      <c r="I312" s="348" t="n"/>
    </row>
    <row r="313">
      <c r="A313" s="348" t="n"/>
      <c r="B313" s="348" t="n"/>
      <c r="C313" s="348" t="n"/>
      <c r="D313" s="348" t="n"/>
      <c r="E313" s="348" t="n"/>
      <c r="F313" s="348" t="n"/>
      <c r="G313" s="348" t="n"/>
      <c r="H313" s="348" t="n"/>
      <c r="I313" s="348" t="n"/>
    </row>
    <row r="314">
      <c r="A314" s="348" t="n"/>
      <c r="B314" s="348" t="n"/>
      <c r="C314" s="348" t="n"/>
      <c r="D314" s="348" t="n"/>
      <c r="E314" s="348" t="n"/>
      <c r="F314" s="348" t="n"/>
      <c r="G314" s="348" t="n"/>
      <c r="H314" s="348" t="n"/>
      <c r="I314" s="348" t="n"/>
    </row>
    <row r="315">
      <c r="A315" s="348" t="n"/>
      <c r="B315" s="348" t="n"/>
      <c r="C315" s="348" t="n"/>
      <c r="D315" s="348" t="n"/>
      <c r="E315" s="348" t="n"/>
      <c r="F315" s="348" t="n"/>
      <c r="G315" s="348" t="n"/>
      <c r="H315" s="348" t="n"/>
      <c r="I315" s="348" t="n"/>
    </row>
    <row r="316">
      <c r="A316" s="348" t="n"/>
      <c r="B316" s="348" t="n"/>
      <c r="C316" s="348" t="n"/>
      <c r="D316" s="348" t="n"/>
      <c r="E316" s="348" t="n"/>
      <c r="F316" s="348" t="n"/>
      <c r="G316" s="348" t="n"/>
      <c r="H316" s="348" t="n"/>
      <c r="I316" s="348" t="n"/>
    </row>
    <row r="317">
      <c r="A317" s="348" t="n"/>
      <c r="B317" s="348" t="n"/>
      <c r="C317" s="348" t="n"/>
      <c r="D317" s="348" t="n"/>
      <c r="E317" s="348" t="n"/>
      <c r="F317" s="348" t="n"/>
      <c r="G317" s="348" t="n"/>
      <c r="H317" s="348" t="n"/>
      <c r="I317" s="348" t="n"/>
    </row>
    <row r="318">
      <c r="A318" s="348" t="n"/>
      <c r="B318" s="348" t="n"/>
      <c r="C318" s="348" t="n"/>
      <c r="D318" s="348" t="n"/>
      <c r="E318" s="348" t="n"/>
      <c r="F318" s="348" t="n"/>
      <c r="G318" s="348" t="n"/>
      <c r="H318" s="348" t="n"/>
      <c r="I318" s="348" t="n"/>
    </row>
    <row r="319">
      <c r="A319" s="348" t="n"/>
      <c r="B319" s="348" t="n"/>
      <c r="C319" s="348" t="n"/>
      <c r="D319" s="348" t="n"/>
      <c r="E319" s="348" t="n"/>
      <c r="F319" s="348" t="n"/>
      <c r="G319" s="348" t="n"/>
      <c r="H319" s="348" t="n"/>
      <c r="I319" s="348" t="n"/>
    </row>
    <row r="320">
      <c r="A320" s="348" t="n"/>
      <c r="B320" s="348" t="n"/>
      <c r="C320" s="348" t="n"/>
      <c r="D320" s="348" t="n"/>
      <c r="E320" s="348" t="n"/>
      <c r="F320" s="348" t="n"/>
      <c r="G320" s="348" t="n"/>
      <c r="H320" s="348" t="n"/>
      <c r="I320" s="348" t="n"/>
    </row>
    <row r="321">
      <c r="A321" s="348" t="n"/>
      <c r="B321" s="348" t="n"/>
      <c r="C321" s="348" t="n"/>
      <c r="D321" s="348" t="n"/>
      <c r="E321" s="348" t="n"/>
      <c r="F321" s="348" t="n"/>
      <c r="G321" s="348" t="n"/>
      <c r="H321" s="348" t="n"/>
      <c r="I321" s="348" t="n"/>
    </row>
    <row r="322">
      <c r="A322" s="348" t="n"/>
      <c r="B322" s="348" t="n"/>
      <c r="C322" s="348" t="n"/>
      <c r="D322" s="348" t="n"/>
      <c r="E322" s="348" t="n"/>
      <c r="F322" s="348" t="n"/>
      <c r="G322" s="348" t="n"/>
      <c r="H322" s="348" t="n"/>
      <c r="I322" s="348" t="n"/>
    </row>
    <row r="323">
      <c r="A323" s="348" t="n"/>
      <c r="B323" s="348" t="n"/>
      <c r="C323" s="348" t="n"/>
      <c r="D323" s="348" t="n"/>
      <c r="E323" s="348" t="n"/>
      <c r="F323" s="348" t="n"/>
      <c r="G323" s="348" t="n"/>
      <c r="H323" s="348" t="n"/>
      <c r="I323" s="348" t="n"/>
    </row>
    <row r="324">
      <c r="A324" s="348" t="n"/>
      <c r="B324" s="348" t="n"/>
      <c r="C324" s="348" t="n"/>
      <c r="D324" s="348" t="n"/>
      <c r="E324" s="348" t="n"/>
      <c r="F324" s="348" t="n"/>
      <c r="G324" s="348" t="n"/>
      <c r="H324" s="348" t="n"/>
      <c r="I324" s="348" t="n"/>
    </row>
    <row r="325">
      <c r="A325" s="348" t="n"/>
      <c r="B325" s="348" t="n"/>
      <c r="C325" s="348" t="n"/>
      <c r="D325" s="348" t="n"/>
      <c r="E325" s="348" t="n"/>
      <c r="F325" s="348" t="n"/>
      <c r="G325" s="348" t="n"/>
      <c r="H325" s="348" t="n"/>
      <c r="I325" s="348" t="n"/>
    </row>
    <row r="326">
      <c r="A326" s="348" t="n"/>
      <c r="B326" s="348" t="n"/>
      <c r="C326" s="348" t="n"/>
      <c r="D326" s="348" t="n"/>
      <c r="E326" s="348" t="n"/>
      <c r="F326" s="348" t="n"/>
      <c r="G326" s="348" t="n"/>
      <c r="H326" s="348" t="n"/>
      <c r="I326" s="348" t="n"/>
    </row>
    <row r="327">
      <c r="A327" s="348" t="n"/>
      <c r="B327" s="348" t="n"/>
      <c r="C327" s="348" t="n"/>
      <c r="D327" s="348" t="n"/>
      <c r="E327" s="348" t="n"/>
      <c r="F327" s="348" t="n"/>
      <c r="G327" s="348" t="n"/>
      <c r="H327" s="348" t="n"/>
      <c r="I327" s="348" t="n"/>
    </row>
    <row r="328">
      <c r="A328" s="348" t="n"/>
      <c r="B328" s="348" t="n"/>
      <c r="C328" s="348" t="n"/>
      <c r="D328" s="348" t="n"/>
      <c r="E328" s="348" t="n"/>
      <c r="F328" s="348" t="n"/>
      <c r="G328" s="348" t="n"/>
      <c r="H328" s="348" t="n"/>
      <c r="I328" s="348" t="n"/>
    </row>
    <row r="329">
      <c r="A329" s="348" t="n"/>
      <c r="B329" s="348" t="n"/>
      <c r="C329" s="348" t="n"/>
      <c r="D329" s="348" t="n"/>
      <c r="E329" s="348" t="n"/>
      <c r="F329" s="348" t="n"/>
      <c r="G329" s="348" t="n"/>
      <c r="H329" s="348" t="n"/>
      <c r="I329" s="348" t="n"/>
    </row>
    <row r="330">
      <c r="A330" s="348" t="n"/>
      <c r="B330" s="348" t="n"/>
      <c r="C330" s="348" t="n"/>
      <c r="D330" s="348" t="n"/>
      <c r="E330" s="348" t="n"/>
      <c r="F330" s="348" t="n"/>
      <c r="G330" s="348" t="n"/>
      <c r="H330" s="348" t="n"/>
      <c r="I330" s="34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style="355" min="1" max="1"/>
    <col width="25" customWidth="1" style="355" min="2" max="2"/>
    <col width="14" customWidth="1" style="355" min="3" max="3"/>
    <col width="14" customWidth="1" style="355" min="4" max="4"/>
    <col width="42" customWidth="1" style="355" min="5" max="5"/>
    <col width="42" customWidth="1" style="355" min="6" max="6"/>
    <col width="24" customWidth="1" style="355" min="7" max="7"/>
  </cols>
  <sheetData>
    <row r="1">
      <c r="A1" s="454" t="inlineStr">
        <is>
          <t>Sheet</t>
        </is>
      </c>
      <c r="B1" s="454" t="inlineStr">
        <is>
          <t>Scope</t>
        </is>
      </c>
      <c r="C1" s="454" t="inlineStr">
        <is>
          <t>State Rows</t>
        </is>
      </c>
      <c r="D1" s="454" t="inlineStr">
        <is>
          <t>Unique States</t>
        </is>
      </c>
      <c r="E1" s="454" t="inlineStr">
        <is>
          <t>Missing States</t>
        </is>
      </c>
      <c r="F1" s="454" t="inlineStr">
        <is>
          <t>Duplicate States</t>
        </is>
      </c>
      <c r="G1" s="454" t="inlineStr">
        <is>
          <t>Status</t>
        </is>
      </c>
    </row>
    <row r="2">
      <c r="A2" s="348" t="inlineStr">
        <is>
          <t>Auto Insurance Minimums</t>
        </is>
      </c>
      <c r="B2" s="348" t="inlineStr">
        <is>
          <t>Full 50-state production</t>
        </is>
      </c>
      <c r="C2" s="348" t="n">
        <v>50</v>
      </c>
      <c r="D2" s="348" t="n">
        <v>50</v>
      </c>
      <c r="E2" s="348" t="inlineStr">
        <is>
          <t>None</t>
        </is>
      </c>
      <c r="F2" s="348" t="inlineStr">
        <is>
          <t>None</t>
        </is>
      </c>
      <c r="G2" s="348" t="inlineStr">
        <is>
          <t>Pass</t>
        </is>
      </c>
    </row>
    <row r="3">
      <c r="A3" s="348" t="inlineStr">
        <is>
          <t>Policy_Disclosure_Website_Ready</t>
        </is>
      </c>
      <c r="B3" s="348" t="inlineStr">
        <is>
          <t>Full 50-state production</t>
        </is>
      </c>
      <c r="C3" s="348" t="n">
        <v>50</v>
      </c>
      <c r="D3" s="348" t="n">
        <v>50</v>
      </c>
      <c r="E3" s="348" t="inlineStr">
        <is>
          <t>None</t>
        </is>
      </c>
      <c r="F3" s="348" t="inlineStr">
        <is>
          <t>None</t>
        </is>
      </c>
      <c r="G3" s="348" t="inlineStr">
        <is>
          <t>Pass</t>
        </is>
      </c>
    </row>
    <row r="4">
      <c r="A4" s="348" t="inlineStr">
        <is>
          <t>Claims_Deadlines_Website</t>
        </is>
      </c>
      <c r="B4" s="348" t="inlineStr">
        <is>
          <t>Full 50-state production</t>
        </is>
      </c>
      <c r="C4" s="348" t="n">
        <v>50</v>
      </c>
      <c r="D4" s="348" t="n">
        <v>50</v>
      </c>
      <c r="E4" s="348" t="inlineStr">
        <is>
          <t>None</t>
        </is>
      </c>
      <c r="F4" s="348" t="inlineStr">
        <is>
          <t>None</t>
        </is>
      </c>
      <c r="G4" s="348" t="inlineStr">
        <is>
          <t>Pass</t>
        </is>
      </c>
    </row>
    <row r="5">
      <c r="A5" s="348" t="inlineStr">
        <is>
          <t>PIP_NoFault</t>
        </is>
      </c>
      <c r="B5" s="348" t="inlineStr">
        <is>
          <t>Full 50-state production</t>
        </is>
      </c>
      <c r="C5" s="348" t="n">
        <v>50</v>
      </c>
      <c r="D5" s="348" t="n">
        <v>50</v>
      </c>
      <c r="E5" s="348" t="inlineStr">
        <is>
          <t>None</t>
        </is>
      </c>
      <c r="F5" s="348" t="inlineStr">
        <is>
          <t>None</t>
        </is>
      </c>
      <c r="G5" s="348" t="inlineStr">
        <is>
          <t>Pass</t>
        </is>
      </c>
    </row>
    <row r="6">
      <c r="A6" s="348" t="inlineStr">
        <is>
          <t>Bad_Faith</t>
        </is>
      </c>
      <c r="B6" s="348" t="inlineStr">
        <is>
          <t>Full 50-state production</t>
        </is>
      </c>
      <c r="C6" s="348" t="n">
        <v>49</v>
      </c>
      <c r="D6" s="348" t="n">
        <v>49</v>
      </c>
      <c r="E6" s="348" t="inlineStr">
        <is>
          <t>Idaho</t>
        </is>
      </c>
      <c r="F6" s="348" t="inlineStr">
        <is>
          <t>None</t>
        </is>
      </c>
      <c r="G6" s="348" t="inlineStr">
        <is>
          <t>Needs Review</t>
        </is>
      </c>
    </row>
    <row r="7">
      <c r="A7" s="348" t="inlineStr">
        <is>
          <t>Comparative_Negligence</t>
        </is>
      </c>
      <c r="B7" s="348" t="inlineStr">
        <is>
          <t>In-progress / partial dataset</t>
        </is>
      </c>
      <c r="C7" s="348" t="n">
        <v>40</v>
      </c>
      <c r="D7" s="348" t="n">
        <v>40</v>
      </c>
      <c r="E7" s="348" t="inlineStr">
        <is>
          <t>South Dakota, Tennessee, Texas, Utah, Vermont, Virginia, Washington, West Virginia, Wisconsin, Wyoming</t>
        </is>
      </c>
      <c r="F7" s="348" t="inlineStr">
        <is>
          <t>None</t>
        </is>
      </c>
      <c r="G7" s="348" t="inlineStr">
        <is>
          <t>Informational - partial dataset</t>
        </is>
      </c>
    </row>
    <row r="8">
      <c r="A8" s="348" t="inlineStr">
        <is>
          <t>UM_UIM_Rules</t>
        </is>
      </c>
      <c r="B8" s="348" t="inlineStr">
        <is>
          <t>In-progress / partial dataset</t>
        </is>
      </c>
      <c r="C8" s="348" t="n">
        <v>50</v>
      </c>
      <c r="D8" s="348" t="n">
        <v>50</v>
      </c>
      <c r="E8" s="348" t="inlineStr">
        <is>
          <t>None</t>
        </is>
      </c>
      <c r="F8" s="348" t="inlineStr">
        <is>
          <t>None</t>
        </is>
      </c>
      <c r="G8" s="348" t="inlineStr">
        <is>
          <t>Pass</t>
        </is>
      </c>
    </row>
    <row r="9">
      <c r="A9" s="348" t="n"/>
      <c r="B9" s="348" t="n"/>
      <c r="C9" s="348" t="n"/>
      <c r="D9" s="348" t="n"/>
      <c r="E9" s="348" t="n"/>
      <c r="F9" s="348" t="n"/>
      <c r="G9" s="348" t="n"/>
    </row>
    <row r="10">
      <c r="A10" s="348" t="n"/>
      <c r="B10" s="348" t="n"/>
      <c r="C10" s="348" t="n"/>
      <c r="D10" s="348" t="n"/>
      <c r="E10" s="348" t="n"/>
      <c r="F10" s="348" t="n"/>
      <c r="G10" s="348" t="n"/>
    </row>
    <row r="11">
      <c r="A11" s="348" t="n"/>
      <c r="B11" s="348" t="n"/>
      <c r="C11" s="348" t="n"/>
      <c r="D11" s="348" t="n"/>
      <c r="E11" s="348" t="n"/>
      <c r="F11" s="348" t="n"/>
      <c r="G11" s="348" t="n"/>
    </row>
    <row r="12">
      <c r="A12" s="348" t="n"/>
      <c r="B12" s="348" t="n"/>
      <c r="C12" s="348" t="n"/>
      <c r="D12" s="348" t="n"/>
      <c r="E12" s="348" t="n"/>
      <c r="F12" s="348" t="n"/>
      <c r="G12" s="348" t="n"/>
    </row>
    <row r="13">
      <c r="A13" s="348" t="n"/>
      <c r="B13" s="348" t="n"/>
      <c r="C13" s="348" t="n"/>
      <c r="D13" s="348" t="n"/>
      <c r="E13" s="348" t="n"/>
      <c r="F13" s="348" t="n"/>
      <c r="G13" s="348" t="n"/>
    </row>
    <row r="14">
      <c r="A14" s="348" t="n"/>
      <c r="B14" s="348" t="n"/>
      <c r="C14" s="348" t="n"/>
      <c r="D14" s="348" t="n"/>
      <c r="E14" s="348" t="n"/>
      <c r="F14" s="348" t="n"/>
      <c r="G14" s="348" t="n"/>
    </row>
    <row r="15">
      <c r="A15" s="348" t="n"/>
      <c r="B15" s="348" t="n"/>
      <c r="C15" s="348" t="n"/>
      <c r="D15" s="348" t="n"/>
      <c r="E15" s="348" t="n"/>
      <c r="F15" s="348" t="n"/>
      <c r="G15" s="348" t="n"/>
    </row>
    <row r="16">
      <c r="A16" s="348" t="n"/>
      <c r="B16" s="348" t="n"/>
      <c r="C16" s="348" t="n"/>
      <c r="D16" s="348" t="n"/>
      <c r="E16" s="348" t="n"/>
      <c r="F16" s="348" t="n"/>
      <c r="G16" s="348" t="n"/>
    </row>
    <row r="17">
      <c r="A17" s="348" t="n"/>
      <c r="B17" s="348" t="n"/>
      <c r="C17" s="348" t="n"/>
      <c r="D17" s="348" t="n"/>
      <c r="E17" s="348" t="n"/>
      <c r="F17" s="348" t="n"/>
      <c r="G17" s="348" t="n"/>
    </row>
    <row r="18">
      <c r="A18" s="348" t="n"/>
      <c r="B18" s="348" t="n"/>
      <c r="C18" s="348" t="n"/>
      <c r="D18" s="348" t="n"/>
      <c r="E18" s="348" t="n"/>
      <c r="F18" s="348" t="n"/>
      <c r="G18" s="348" t="n"/>
    </row>
    <row r="19">
      <c r="A19" s="348" t="n"/>
      <c r="B19" s="348" t="n"/>
      <c r="C19" s="348" t="n"/>
      <c r="D19" s="348" t="n"/>
      <c r="E19" s="348" t="n"/>
      <c r="F19" s="348" t="n"/>
      <c r="G19" s="348" t="n"/>
    </row>
    <row r="20">
      <c r="A20" s="348" t="n"/>
      <c r="B20" s="348" t="n"/>
      <c r="C20" s="348" t="n"/>
      <c r="D20" s="348" t="n"/>
      <c r="E20" s="348" t="n"/>
      <c r="F20" s="348" t="n"/>
      <c r="G20" s="34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24" customWidth="1" style="355" min="2" max="2"/>
    <col width="42" customWidth="1" style="355" min="3" max="3"/>
    <col width="50" customWidth="1" style="355" min="4" max="4"/>
    <col width="30" customWidth="1" style="355" min="5" max="5"/>
    <col width="12" customWidth="1" style="355" min="6" max="6"/>
  </cols>
  <sheetData>
    <row r="1">
      <c r="A1" s="454" t="inlineStr">
        <is>
          <t>State</t>
        </is>
      </c>
      <c r="B1" s="454" t="inlineStr">
        <is>
          <t>Dataset</t>
        </is>
      </c>
      <c r="C1" s="454" t="inlineStr">
        <is>
          <t>Citation</t>
        </is>
      </c>
      <c r="D1" s="454" t="inlineStr">
        <is>
          <t>URL</t>
        </is>
      </c>
      <c r="E1" s="454" t="inlineStr">
        <is>
          <t>URL Status</t>
        </is>
      </c>
      <c r="F1" s="454" t="inlineStr">
        <is>
          <t>Priority</t>
        </is>
      </c>
    </row>
    <row r="2">
      <c r="A2" s="348" t="inlineStr">
        <is>
          <t>Alabama</t>
        </is>
      </c>
      <c r="B2" s="348" t="inlineStr">
        <is>
          <t>Bad Faith</t>
        </is>
      </c>
      <c r="C2" s="348" t="inlineStr">
        <is>
          <t>Chavers v. National Security Fire &amp; Casualty Co.; Ala. Code § 27-12-24</t>
        </is>
      </c>
      <c r="D2" s="348" t="inlineStr">
        <is>
          <t>https://law.justia.com/codes/alabama/title-27/chapter-12/section-27-12-24/</t>
        </is>
      </c>
      <c r="E2" s="348" t="inlineStr">
        <is>
          <t>Non-government / secondary source</t>
        </is>
      </c>
      <c r="F2" s="348" t="inlineStr">
        <is>
          <t>Medium</t>
        </is>
      </c>
    </row>
    <row r="3">
      <c r="A3" s="348" t="inlineStr">
        <is>
          <t>Alabama</t>
        </is>
      </c>
      <c r="B3" s="348" t="inlineStr">
        <is>
          <t>Claims Deadlines</t>
        </is>
      </c>
      <c r="C3" s="348" t="inlineStr">
        <is>
          <t>Ala. Admin. Code r. 482-1-125-.01 to .11; r. 482-1-124-.01 to .07</t>
        </is>
      </c>
      <c r="D3" s="348" t="inlineStr">
        <is>
          <t>https://www.alabamaadministrativecode.state.al.us</t>
        </is>
      </c>
      <c r="E3" s="348" t="inlineStr">
        <is>
          <t>Official / government source</t>
        </is>
      </c>
      <c r="F3" s="348" t="inlineStr">
        <is>
          <t>Low</t>
        </is>
      </c>
    </row>
    <row r="4">
      <c r="A4" s="348" t="inlineStr">
        <is>
          <t>Alabama</t>
        </is>
      </c>
      <c r="B4" s="348" t="inlineStr">
        <is>
          <t>Comparative Negligence</t>
        </is>
      </c>
      <c r="C4" s="348" t="inlineStr">
        <is>
          <t>Golden v. McCurry, 392 So. 2d 815 (Ala. 1980)</t>
        </is>
      </c>
      <c r="D4" s="348" t="inlineStr">
        <is>
          <t>https://law.justia.com/cases/alabama/supreme-court/1980/392-so-2d-815-1.html</t>
        </is>
      </c>
      <c r="E4" s="348" t="inlineStr">
        <is>
          <t>Non-government / secondary source</t>
        </is>
      </c>
      <c r="F4" s="348" t="inlineStr">
        <is>
          <t>Medium</t>
        </is>
      </c>
    </row>
    <row r="5">
      <c r="A5" s="348" t="inlineStr">
        <is>
          <t>Alabama</t>
        </is>
      </c>
      <c r="B5" s="348" t="inlineStr">
        <is>
          <t>PIP / No-Fault</t>
        </is>
      </c>
      <c r="C5" s="348" t="inlineStr">
        <is>
          <t>Ala. Code § 32-7-6</t>
        </is>
      </c>
      <c r="D5" s="348" t="inlineStr">
        <is>
          <t>https://www.revenue.alabama.gov/tax-types/mandatory-liability-insurance/</t>
        </is>
      </c>
      <c r="E5" s="348" t="inlineStr">
        <is>
          <t>Official / government source</t>
        </is>
      </c>
      <c r="F5" s="348" t="inlineStr">
        <is>
          <t>Low</t>
        </is>
      </c>
    </row>
    <row r="6">
      <c r="A6" s="348" t="inlineStr">
        <is>
          <t>Alabama</t>
        </is>
      </c>
      <c r="B6" s="348" t="inlineStr">
        <is>
          <t>Policy Disclosure</t>
        </is>
      </c>
      <c r="C6" s="348" t="inlineStr">
        <is>
          <t>Ala. R. Civ. P. 26(b)(3)</t>
        </is>
      </c>
      <c r="D6" s="348" t="inlineStr">
        <is>
          <t>https://judicial.alabama.gov/docs/library/rules/CV26.pdf</t>
        </is>
      </c>
      <c r="E6" s="348" t="inlineStr">
        <is>
          <t>Official / government source</t>
        </is>
      </c>
      <c r="F6" s="348" t="inlineStr">
        <is>
          <t>Low</t>
        </is>
      </c>
    </row>
    <row r="7">
      <c r="A7" s="348" t="inlineStr">
        <is>
          <t>Alabama</t>
        </is>
      </c>
      <c r="B7" s="348" t="inlineStr">
        <is>
          <t>UM/UIM Rules</t>
        </is>
      </c>
      <c r="C7" s="348" t="inlineStr">
        <is>
          <t>Ala. Code § 32-7-23</t>
        </is>
      </c>
      <c r="D7" s="348" t="inlineStr">
        <is>
          <t>https://alison.legislature.state.al.us/code-of-alabama</t>
        </is>
      </c>
      <c r="E7" s="348" t="inlineStr">
        <is>
          <t>Official / government source</t>
        </is>
      </c>
      <c r="F7" s="348" t="inlineStr">
        <is>
          <t>Low</t>
        </is>
      </c>
    </row>
    <row r="8">
      <c r="A8" s="348" t="inlineStr">
        <is>
          <t>Alaska</t>
        </is>
      </c>
      <c r="B8" s="348" t="inlineStr">
        <is>
          <t>Bad Faith</t>
        </is>
      </c>
      <c r="C8" s="348" t="inlineStr">
        <is>
          <t>State Farm Fire &amp; Casualty Co. v. Nicholson; State Farm v. Weiford</t>
        </is>
      </c>
      <c r="D8" s="348" t="inlineStr">
        <is>
          <t>https://law.justia.com/cases/alaska/supreme-court/1989/s-2303-1.html</t>
        </is>
      </c>
      <c r="E8" s="348" t="inlineStr">
        <is>
          <t>Non-government / secondary source</t>
        </is>
      </c>
      <c r="F8" s="348" t="inlineStr">
        <is>
          <t>Medium</t>
        </is>
      </c>
    </row>
    <row r="9">
      <c r="A9" s="348" t="inlineStr">
        <is>
          <t>Alaska</t>
        </is>
      </c>
      <c r="B9" s="348" t="inlineStr">
        <is>
          <t>Claims Deadlines</t>
        </is>
      </c>
      <c r="C9" s="348" t="inlineStr">
        <is>
          <t>3 AAC 26.040 to 26.070</t>
        </is>
      </c>
      <c r="D9" s="348" t="inlineStr">
        <is>
          <t>https://www.akleg.gov/basis/aac.asp</t>
        </is>
      </c>
      <c r="E9" s="348" t="inlineStr">
        <is>
          <t>Official / government source</t>
        </is>
      </c>
      <c r="F9" s="348" t="inlineStr">
        <is>
          <t>Low</t>
        </is>
      </c>
    </row>
    <row r="10">
      <c r="A10" s="348" t="inlineStr">
        <is>
          <t>Alaska</t>
        </is>
      </c>
      <c r="B10" s="348" t="inlineStr">
        <is>
          <t>Comparative Negligence</t>
        </is>
      </c>
      <c r="C10" s="348" t="inlineStr">
        <is>
          <t>AS § 09.17.080</t>
        </is>
      </c>
      <c r="D10" s="348" t="inlineStr">
        <is>
          <t>https://www.akleg.gov/basis/statutes.asp#09.17.080</t>
        </is>
      </c>
      <c r="E10" s="348" t="inlineStr">
        <is>
          <t>Official / government source</t>
        </is>
      </c>
      <c r="F10" s="348" t="inlineStr">
        <is>
          <t>Low</t>
        </is>
      </c>
    </row>
    <row r="11">
      <c r="A11" s="348" t="inlineStr">
        <is>
          <t>Alaska</t>
        </is>
      </c>
      <c r="B11" s="348" t="inlineStr">
        <is>
          <t>PIP / No-Fault</t>
        </is>
      </c>
      <c r="C11" s="348" t="inlineStr">
        <is>
          <t>AS § 28.22.101</t>
        </is>
      </c>
      <c r="D11" s="348" t="inlineStr">
        <is>
          <t>https://www.akleg.gov/basis/statutes.asp</t>
        </is>
      </c>
      <c r="E11" s="348" t="inlineStr">
        <is>
          <t>Official / government source</t>
        </is>
      </c>
      <c r="F11" s="348" t="inlineStr">
        <is>
          <t>Low</t>
        </is>
      </c>
    </row>
    <row r="12">
      <c r="A12" s="348" t="inlineStr">
        <is>
          <t>Alaska</t>
        </is>
      </c>
      <c r="B12" s="348" t="inlineStr">
        <is>
          <t>Policy Disclosure</t>
        </is>
      </c>
      <c r="C12" s="348" t="inlineStr">
        <is>
          <t>Alaska R. Civ. P. 26(a)(1)(F)</t>
        </is>
      </c>
      <c r="D12" s="348" t="inlineStr">
        <is>
          <t>https://courts.alaska.gov/rules/docs/civ.pdf</t>
        </is>
      </c>
      <c r="E12" s="348" t="inlineStr">
        <is>
          <t>Official / government source</t>
        </is>
      </c>
      <c r="F12" s="348" t="inlineStr">
        <is>
          <t>Low</t>
        </is>
      </c>
    </row>
    <row r="13">
      <c r="A13" s="348" t="inlineStr">
        <is>
          <t>Arizona</t>
        </is>
      </c>
      <c r="B13" s="348" t="inlineStr">
        <is>
          <t>Bad Faith</t>
        </is>
      </c>
      <c r="C13" s="348" t="inlineStr">
        <is>
          <t>Noble v. National American Life; Farmers v. Henderson; Clearwater v. State Farm</t>
        </is>
      </c>
      <c r="D13" s="348" t="inlineStr">
        <is>
          <t>https://law.justia.com/cases/arizona/supreme-court/1990/cv-89-0175-pr-2.html</t>
        </is>
      </c>
      <c r="E13" s="348" t="inlineStr">
        <is>
          <t>Non-government / secondary source</t>
        </is>
      </c>
      <c r="F13" s="348" t="inlineStr">
        <is>
          <t>Medium</t>
        </is>
      </c>
    </row>
    <row r="14">
      <c r="A14" s="348" t="inlineStr">
        <is>
          <t>Arizona</t>
        </is>
      </c>
      <c r="B14" s="348" t="inlineStr">
        <is>
          <t>Claims Deadlines</t>
        </is>
      </c>
      <c r="C14" s="348" t="inlineStr">
        <is>
          <t>A.R.S. § 20-462; Ariz. Admin. Code R20-6-801</t>
        </is>
      </c>
      <c r="D14" s="348" t="inlineStr">
        <is>
          <t>https://apps.azsos.gov/public_services/Title_20/20-06.pdf</t>
        </is>
      </c>
      <c r="E14" s="348" t="inlineStr">
        <is>
          <t>Official / government source</t>
        </is>
      </c>
      <c r="F14" s="348" t="inlineStr">
        <is>
          <t>Low</t>
        </is>
      </c>
    </row>
    <row r="15">
      <c r="A15" s="348" t="inlineStr">
        <is>
          <t>Arizona</t>
        </is>
      </c>
      <c r="B15" s="348" t="inlineStr">
        <is>
          <t>Comparative Negligence</t>
        </is>
      </c>
      <c r="C15" s="348" t="inlineStr">
        <is>
          <t>A.R.S. § 12-2505</t>
        </is>
      </c>
      <c r="D15" s="348" t="inlineStr">
        <is>
          <t>https://www.azleg.gov/ars/12/02505.htm</t>
        </is>
      </c>
      <c r="E15" s="348" t="inlineStr">
        <is>
          <t>Official / government source</t>
        </is>
      </c>
      <c r="F15" s="348" t="inlineStr">
        <is>
          <t>Low</t>
        </is>
      </c>
    </row>
    <row r="16">
      <c r="A16" s="348" t="inlineStr">
        <is>
          <t>Arizona</t>
        </is>
      </c>
      <c r="B16" s="348" t="inlineStr">
        <is>
          <t>PIP / No-Fault</t>
        </is>
      </c>
      <c r="C16" s="348" t="inlineStr">
        <is>
          <t>A.R.S. § 28-4009</t>
        </is>
      </c>
      <c r="D16" s="348" t="inlineStr">
        <is>
          <t>https://www.azleg.gov/arsDetail/?title=28</t>
        </is>
      </c>
      <c r="E16" s="348" t="inlineStr">
        <is>
          <t>Official / government source</t>
        </is>
      </c>
      <c r="F16" s="348" t="inlineStr">
        <is>
          <t>Low</t>
        </is>
      </c>
    </row>
    <row r="17">
      <c r="A17" s="348" t="inlineStr">
        <is>
          <t>Arizona</t>
        </is>
      </c>
      <c r="B17" s="348" t="inlineStr">
        <is>
          <t>Policy Disclosure</t>
        </is>
      </c>
      <c r="C17" s="348" t="inlineStr">
        <is>
          <t>Ariz. R. Civ. P. 26.1(a)(10)</t>
        </is>
      </c>
      <c r="D17" s="348" t="inlineStr">
        <is>
          <t>https://www.azcourts.gov/rules/Arizona-Rules-of-Civil-Procedure</t>
        </is>
      </c>
      <c r="E17" s="348" t="inlineStr">
        <is>
          <t>Official / government source</t>
        </is>
      </c>
      <c r="F17" s="348" t="inlineStr">
        <is>
          <t>Low</t>
        </is>
      </c>
    </row>
    <row r="18">
      <c r="A18" s="348" t="inlineStr">
        <is>
          <t>Arizona</t>
        </is>
      </c>
      <c r="B18" s="348" t="inlineStr">
        <is>
          <t>UM/UIM Rules</t>
        </is>
      </c>
      <c r="C18" s="348" t="inlineStr">
        <is>
          <t>A.R.S. § 20-259.01</t>
        </is>
      </c>
      <c r="D18" s="348" t="inlineStr">
        <is>
          <t>https://www.azleg.gov/ars/20/00259-01.htm</t>
        </is>
      </c>
      <c r="E18" s="348" t="inlineStr">
        <is>
          <t>Official / government source</t>
        </is>
      </c>
      <c r="F18" s="348" t="inlineStr">
        <is>
          <t>Low</t>
        </is>
      </c>
    </row>
    <row r="19">
      <c r="A19" s="348" t="inlineStr">
        <is>
          <t>Arkansas</t>
        </is>
      </c>
      <c r="B19" s="348" t="inlineStr">
        <is>
          <t>Bad Faith</t>
        </is>
      </c>
      <c r="C19" s="348" t="inlineStr">
        <is>
          <t>Aetna Casualty &amp; Surety Co. v. Broadway Arms; Ark. Code § 23-79-208</t>
        </is>
      </c>
      <c r="D19" s="348" t="inlineStr">
        <is>
          <t>https://law.justia.com/codes/arkansas/title-23/subtitle-3/chapter-79/subchapter-2/section-23-79-208/</t>
        </is>
      </c>
      <c r="E19" s="348" t="inlineStr">
        <is>
          <t>Non-government / secondary source</t>
        </is>
      </c>
      <c r="F19" s="348" t="inlineStr">
        <is>
          <t>Medium</t>
        </is>
      </c>
    </row>
    <row r="20">
      <c r="A20" s="348" t="inlineStr">
        <is>
          <t>Arkansas</t>
        </is>
      </c>
      <c r="B20" s="348" t="inlineStr">
        <is>
          <t>Claims Deadlines</t>
        </is>
      </c>
      <c r="C20" s="348" t="inlineStr">
        <is>
          <t>Ark. Ins. Rule 43; Ark. Code Ann. § 23-66-215</t>
        </is>
      </c>
      <c r="D20" s="348" t="inlineStr">
        <is>
          <t>https://codeofarrules.arkansas.gov/Rules/Rule?chapterID=39&amp;levelType=section&amp;partID=615&amp;sectionID=27084&amp;subChapterID=187&amp;subPartID=4304&amp;titleID=23</t>
        </is>
      </c>
      <c r="E20" s="348" t="inlineStr">
        <is>
          <t>Official / government source</t>
        </is>
      </c>
      <c r="F20" s="348" t="inlineStr">
        <is>
          <t>Low</t>
        </is>
      </c>
    </row>
    <row r="21">
      <c r="A21" s="348" t="inlineStr">
        <is>
          <t>Arkansas</t>
        </is>
      </c>
      <c r="B21" s="348" t="inlineStr">
        <is>
          <t>Comparative Negligence</t>
        </is>
      </c>
      <c r="C21" s="348" t="inlineStr">
        <is>
          <t>Ark. Code Ann. § 16-64-122</t>
        </is>
      </c>
      <c r="D21" s="348" t="inlineStr">
        <is>
          <t>https://law.justia.com/codes/arkansas/title-16/subtitle-5/chapter-64/section-16-64-122/</t>
        </is>
      </c>
      <c r="E21" s="348" t="inlineStr">
        <is>
          <t>Non-government / secondary source</t>
        </is>
      </c>
      <c r="F21" s="348" t="inlineStr">
        <is>
          <t>Medium</t>
        </is>
      </c>
    </row>
    <row r="22">
      <c r="A22" s="348" t="inlineStr">
        <is>
          <t>Arkansas</t>
        </is>
      </c>
      <c r="B22" s="348" t="inlineStr">
        <is>
          <t>PIP / No-Fault</t>
        </is>
      </c>
      <c r="C22" s="348" t="inlineStr">
        <is>
          <t>Ark. Code Ann. §§ 23-89-202; 23-89-203</t>
        </is>
      </c>
      <c r="D22" s="348" t="inlineStr">
        <is>
          <t>https://arkleg.state.ar.us/ArkansasLaw</t>
        </is>
      </c>
      <c r="E22" s="348" t="inlineStr">
        <is>
          <t>Official / government source</t>
        </is>
      </c>
      <c r="F22" s="348" t="inlineStr">
        <is>
          <t>Low</t>
        </is>
      </c>
    </row>
    <row r="23">
      <c r="A23" s="348" t="inlineStr">
        <is>
          <t>Arkansas</t>
        </is>
      </c>
      <c r="B23" s="348" t="inlineStr">
        <is>
          <t>Policy Disclosure</t>
        </is>
      </c>
      <c r="C23" s="348" t="inlineStr">
        <is>
          <t>Ark. R. Civ. P. 26(b)(2)</t>
        </is>
      </c>
      <c r="D23" s="348" t="inlineStr">
        <is>
          <t>https://www.arcourts.gov/rules-and-administrative-orders/court-rules/rule-26-general-provisions-governing-discovery</t>
        </is>
      </c>
      <c r="E23" s="348" t="inlineStr">
        <is>
          <t>Official / government source</t>
        </is>
      </c>
      <c r="F23" s="348" t="inlineStr">
        <is>
          <t>Low</t>
        </is>
      </c>
    </row>
    <row r="24">
      <c r="A24" s="348" t="inlineStr">
        <is>
          <t>Arkansas</t>
        </is>
      </c>
      <c r="B24" s="348" t="inlineStr">
        <is>
          <t>UM/UIM Rules</t>
        </is>
      </c>
      <c r="C24" s="348" t="inlineStr">
        <is>
          <t>Ark. Code §§ 23-89-403; 23-89-209</t>
        </is>
      </c>
      <c r="D24" s="348" t="inlineStr">
        <is>
          <t>https://www.arkleg.state.ar.us/ArkansasLaw</t>
        </is>
      </c>
      <c r="E24" s="348" t="inlineStr">
        <is>
          <t>Official / government source</t>
        </is>
      </c>
      <c r="F24" s="348" t="inlineStr">
        <is>
          <t>Low</t>
        </is>
      </c>
    </row>
    <row r="25">
      <c r="A25" s="348" t="inlineStr">
        <is>
          <t>California</t>
        </is>
      </c>
      <c r="B25" s="348" t="inlineStr">
        <is>
          <t>Bad Faith</t>
        </is>
      </c>
      <c r="C25" s="348" t="inlineStr">
        <is>
          <t>Gruenberg v. Aetna; Moradi-Shalal; Cal. Ins. Code § 790.03</t>
        </is>
      </c>
      <c r="D25" s="348" t="inlineStr">
        <is>
          <t>https://leginfo.legislature.ca.gov/faces/codes_displaySection.xhtml?sectionNum=790.03&amp;lawCode=INS</t>
        </is>
      </c>
      <c r="E25" s="348" t="inlineStr">
        <is>
          <t>Official / government source</t>
        </is>
      </c>
      <c r="F25" s="348" t="inlineStr">
        <is>
          <t>Low</t>
        </is>
      </c>
    </row>
    <row r="26">
      <c r="A26" s="348" t="inlineStr">
        <is>
          <t>California</t>
        </is>
      </c>
      <c r="B26" s="348" t="inlineStr">
        <is>
          <t>Claims Deadlines</t>
        </is>
      </c>
      <c r="C26" s="348" t="inlineStr">
        <is>
          <t>10 Cal. Code Regs. §§ 2695.1 to 2695.14</t>
        </is>
      </c>
      <c r="D26" s="348" t="inlineStr">
        <is>
          <t>https://www.insurance.ca.gov/01-consumers/130-laws-regs-hearings/05-CCR/fair-claims-regs.cfm</t>
        </is>
      </c>
      <c r="E26" s="348" t="inlineStr">
        <is>
          <t>Official / government source</t>
        </is>
      </c>
      <c r="F26" s="348" t="inlineStr">
        <is>
          <t>Low</t>
        </is>
      </c>
    </row>
    <row r="27">
      <c r="A27" s="348" t="inlineStr">
        <is>
          <t>California</t>
        </is>
      </c>
      <c r="B27" s="348" t="inlineStr">
        <is>
          <t>Comparative Negligence</t>
        </is>
      </c>
      <c r="C27" s="348" t="inlineStr">
        <is>
          <t>Li v. Yellow Cab Co., 13 Cal. 3d 804 (1975)</t>
        </is>
      </c>
      <c r="D27" s="348" t="inlineStr">
        <is>
          <t>https://law.justia.com/cases/california/supreme-court/3d/13/804.html</t>
        </is>
      </c>
      <c r="E27" s="348" t="inlineStr">
        <is>
          <t>Non-government / secondary source</t>
        </is>
      </c>
      <c r="F27" s="348" t="inlineStr">
        <is>
          <t>Medium</t>
        </is>
      </c>
    </row>
    <row r="28">
      <c r="A28" s="348" t="inlineStr">
        <is>
          <t>California</t>
        </is>
      </c>
      <c r="B28" s="348" t="inlineStr">
        <is>
          <t>PIP / No-Fault</t>
        </is>
      </c>
      <c r="C28" s="348" t="inlineStr">
        <is>
          <t>Cal. Veh. Code § 16056</t>
        </is>
      </c>
      <c r="D28" s="348" t="inlineStr">
        <is>
          <t>https://leginfo.legislature.ca.gov/faces/codes_displaySection.xhtml?sectionNum=16056&amp;lawCode=VEH</t>
        </is>
      </c>
      <c r="E28" s="348" t="inlineStr">
        <is>
          <t>Official / government source</t>
        </is>
      </c>
      <c r="F28" s="348" t="inlineStr">
        <is>
          <t>Low</t>
        </is>
      </c>
    </row>
    <row r="29">
      <c r="A29" s="348" t="inlineStr">
        <is>
          <t>California</t>
        </is>
      </c>
      <c r="B29" s="348" t="inlineStr">
        <is>
          <t>Policy Disclosure</t>
        </is>
      </c>
      <c r="C29" s="348" t="inlineStr">
        <is>
          <t>Cal. Code Civ. Proc. § 2017.210</t>
        </is>
      </c>
      <c r="D29" s="348" t="inlineStr">
        <is>
          <t>https://leginfo.legislature.ca.gov/faces/codes_displaySection.xhtml?sectionNum=2017.210&amp;lawCode=CCP</t>
        </is>
      </c>
      <c r="E29" s="348" t="inlineStr">
        <is>
          <t>Official / government source</t>
        </is>
      </c>
      <c r="F29" s="348" t="inlineStr">
        <is>
          <t>Low</t>
        </is>
      </c>
    </row>
    <row r="30">
      <c r="A30" s="348" t="inlineStr">
        <is>
          <t>California</t>
        </is>
      </c>
      <c r="B30" s="348" t="inlineStr">
        <is>
          <t>UM/UIM Rules</t>
        </is>
      </c>
      <c r="C30" s="348" t="inlineStr">
        <is>
          <t>Cal. Ins. Code § 11580.2</t>
        </is>
      </c>
      <c r="D30" s="348" t="inlineStr">
        <is>
          <t>https://leginfo.legislature.ca.gov/faces/codes_displaySection.xhtml?lawCode=INS&amp;sectionNum=11580.2</t>
        </is>
      </c>
      <c r="E30" s="348" t="inlineStr">
        <is>
          <t>Official / government source</t>
        </is>
      </c>
      <c r="F30" s="348" t="inlineStr">
        <is>
          <t>Low</t>
        </is>
      </c>
    </row>
    <row r="31">
      <c r="A31" s="348" t="inlineStr">
        <is>
          <t>Colorado</t>
        </is>
      </c>
      <c r="B31" s="348" t="inlineStr">
        <is>
          <t>Bad Faith</t>
        </is>
      </c>
      <c r="C31" s="348" t="inlineStr">
        <is>
          <t>Colo. Rev. Stat. §§ 10-3-1115, 10-3-1116</t>
        </is>
      </c>
      <c r="D31" s="348" t="inlineStr">
        <is>
          <t>https://codes.findlaw.com/co/title-10-insurance/co-rev-st-sect-10-3-1116/</t>
        </is>
      </c>
      <c r="E31" s="348" t="inlineStr">
        <is>
          <t>Non-government / secondary source</t>
        </is>
      </c>
      <c r="F31" s="348" t="inlineStr">
        <is>
          <t>Medium</t>
        </is>
      </c>
    </row>
    <row r="32">
      <c r="A32" s="348" t="inlineStr">
        <is>
          <t>Colorado</t>
        </is>
      </c>
      <c r="B32" s="348" t="inlineStr">
        <is>
          <t>Claims Deadlines</t>
        </is>
      </c>
      <c r="C32" s="348" t="inlineStr">
        <is>
          <t>Colo. Rev. Stat. § 10-3-1104; 3 CCR 702-5:5-1-14</t>
        </is>
      </c>
      <c r="D32" s="348" t="inlineStr">
        <is>
          <t>https://doi.colorado.gov/for-consumers/file-a-complaint/consumer-resources/laws-regulations-bulletins</t>
        </is>
      </c>
      <c r="E32" s="348" t="inlineStr">
        <is>
          <t>Official / government source</t>
        </is>
      </c>
      <c r="F32" s="348" t="inlineStr">
        <is>
          <t>Low</t>
        </is>
      </c>
    </row>
    <row r="33">
      <c r="A33" s="348" t="inlineStr">
        <is>
          <t>Colorado</t>
        </is>
      </c>
      <c r="B33" s="348" t="inlineStr">
        <is>
          <t>Comparative Negligence</t>
        </is>
      </c>
      <c r="C33" s="348" t="inlineStr">
        <is>
          <t>Colo. Rev. Stat. § 13-21-111</t>
        </is>
      </c>
      <c r="D33" s="348" t="inlineStr">
        <is>
          <t>https://leg.colorado.gov/sites/default/files/images/olls/crs2021-title-13.pdf</t>
        </is>
      </c>
      <c r="E33" s="348" t="inlineStr">
        <is>
          <t>Official / government source</t>
        </is>
      </c>
      <c r="F33" s="348" t="inlineStr">
        <is>
          <t>Low</t>
        </is>
      </c>
    </row>
    <row r="34">
      <c r="A34" s="348" t="inlineStr">
        <is>
          <t>Colorado</t>
        </is>
      </c>
      <c r="B34" s="348" t="inlineStr">
        <is>
          <t>PIP / No-Fault</t>
        </is>
      </c>
      <c r="C34" s="348" t="inlineStr">
        <is>
          <t>Colo. Rev. Stat. Title 10, Article 4</t>
        </is>
      </c>
      <c r="D34" s="348" t="inlineStr">
        <is>
          <t>https://leg.colorado.gov/colorado-revised-statutes</t>
        </is>
      </c>
      <c r="E34" s="348" t="inlineStr">
        <is>
          <t>Official / government source</t>
        </is>
      </c>
      <c r="F34" s="348" t="inlineStr">
        <is>
          <t>Low</t>
        </is>
      </c>
    </row>
    <row r="35">
      <c r="A35" s="348" t="inlineStr">
        <is>
          <t>Colorado</t>
        </is>
      </c>
      <c r="B35" s="348" t="inlineStr">
        <is>
          <t>Policy Disclosure</t>
        </is>
      </c>
      <c r="C35" s="348" t="inlineStr">
        <is>
          <t>Colo. Rev. Stat. § 10-3-1117</t>
        </is>
      </c>
      <c r="D35" s="348" t="inlineStr">
        <is>
          <t>https://leg.colorado.gov/laws/session-laws/4271/download</t>
        </is>
      </c>
      <c r="E35" s="348" t="inlineStr">
        <is>
          <t>Official / government source</t>
        </is>
      </c>
      <c r="F35" s="348" t="inlineStr">
        <is>
          <t>Low</t>
        </is>
      </c>
    </row>
    <row r="36">
      <c r="A36" s="348" t="inlineStr">
        <is>
          <t>Colorado</t>
        </is>
      </c>
      <c r="B36" s="348" t="inlineStr">
        <is>
          <t>UM/UIM Rules</t>
        </is>
      </c>
      <c r="C36" s="348" t="inlineStr">
        <is>
          <t>Colo. Rev. Stat. § 10-4-609</t>
        </is>
      </c>
      <c r="D36" s="348" t="inlineStr">
        <is>
          <t>https://leg.colorado.gov/sites/default/files/images/olls/crs2024-title-10.pdf</t>
        </is>
      </c>
      <c r="E36" s="348" t="inlineStr">
        <is>
          <t>Official / government source</t>
        </is>
      </c>
      <c r="F36" s="348" t="inlineStr">
        <is>
          <t>Low</t>
        </is>
      </c>
    </row>
    <row r="37">
      <c r="A37" s="348" t="inlineStr">
        <is>
          <t>Connecticut</t>
        </is>
      </c>
      <c r="B37" s="348" t="inlineStr">
        <is>
          <t>Bad Faith</t>
        </is>
      </c>
      <c r="C37" s="348" t="inlineStr">
        <is>
          <t>Buckman v. People Express; Conn. Gen. Stat. § 38a-816; CUTPA/CUIPA cases</t>
        </is>
      </c>
      <c r="D37" s="348" t="inlineStr">
        <is>
          <t>https://www.cga.ct.gov/2004/rpt/2004-R-0280.htm</t>
        </is>
      </c>
      <c r="E37" s="348" t="inlineStr">
        <is>
          <t>Official / government source</t>
        </is>
      </c>
      <c r="F37" s="348" t="inlineStr">
        <is>
          <t>Low</t>
        </is>
      </c>
    </row>
    <row r="38">
      <c r="A38" s="348" t="inlineStr">
        <is>
          <t>Connecticut</t>
        </is>
      </c>
      <c r="B38" s="348" t="inlineStr">
        <is>
          <t>Claims Deadlines</t>
        </is>
      </c>
      <c r="C38" s="348" t="inlineStr">
        <is>
          <t>Conn. Gen. Stat. § 38a-816; § 38a-452</t>
        </is>
      </c>
      <c r="D38" s="348" t="inlineStr">
        <is>
          <t>https://www.cga.ct.gov/current/pub/chap_704.htm</t>
        </is>
      </c>
      <c r="E38" s="348" t="inlineStr">
        <is>
          <t>Official / government source</t>
        </is>
      </c>
      <c r="F38" s="348" t="inlineStr">
        <is>
          <t>Low</t>
        </is>
      </c>
    </row>
    <row r="39">
      <c r="A39" s="348" t="inlineStr">
        <is>
          <t>Connecticut</t>
        </is>
      </c>
      <c r="B39" s="348" t="inlineStr">
        <is>
          <t>Comparative Negligence</t>
        </is>
      </c>
      <c r="C39" s="348" t="inlineStr">
        <is>
          <t>Conn. Gen. Stat. § 52-572h</t>
        </is>
      </c>
      <c r="D39" s="348" t="inlineStr">
        <is>
          <t>https://www.cga.ct.gov/current/pub/chap_925.htm#sec_52-572h</t>
        </is>
      </c>
      <c r="E39" s="348" t="inlineStr">
        <is>
          <t>Official / government source</t>
        </is>
      </c>
      <c r="F39" s="348" t="inlineStr">
        <is>
          <t>Low</t>
        </is>
      </c>
    </row>
    <row r="40">
      <c r="A40" s="348" t="inlineStr">
        <is>
          <t>Connecticut</t>
        </is>
      </c>
      <c r="B40" s="348" t="inlineStr">
        <is>
          <t>PIP / No-Fault</t>
        </is>
      </c>
      <c r="C40" s="348" t="inlineStr">
        <is>
          <t>Conn. OLR Report 2016-R-0255</t>
        </is>
      </c>
      <c r="D40" s="348" t="inlineStr">
        <is>
          <t>https://www.cga.ct.gov/2016/rpt/2016-R-0255.htm</t>
        </is>
      </c>
      <c r="E40" s="348" t="inlineStr">
        <is>
          <t>Official / government source</t>
        </is>
      </c>
      <c r="F40" s="348" t="inlineStr">
        <is>
          <t>Low</t>
        </is>
      </c>
    </row>
    <row r="41">
      <c r="A41" s="348" t="inlineStr">
        <is>
          <t>Connecticut</t>
        </is>
      </c>
      <c r="B41" s="348" t="inlineStr">
        <is>
          <t>Policy Disclosure</t>
        </is>
      </c>
      <c r="C41" s="348" t="inlineStr">
        <is>
          <t>Conn. Gen. Stat. §§ 38a-335a; 52-200a</t>
        </is>
      </c>
      <c r="D41" s="348" t="inlineStr">
        <is>
          <t>https://www.cga.ct.gov/current/pub/chap_700.htm#sec_38a-335a</t>
        </is>
      </c>
      <c r="E41" s="348" t="inlineStr">
        <is>
          <t>Official / government source</t>
        </is>
      </c>
      <c r="F41" s="348" t="inlineStr">
        <is>
          <t>Low</t>
        </is>
      </c>
    </row>
    <row r="42">
      <c r="A42" s="348" t="inlineStr">
        <is>
          <t>Connecticut</t>
        </is>
      </c>
      <c r="B42" s="348" t="inlineStr">
        <is>
          <t>UM/UIM Rules</t>
        </is>
      </c>
      <c r="C42" s="348" t="inlineStr">
        <is>
          <t>Conn. Gen. Stat. § 38a-336</t>
        </is>
      </c>
      <c r="D42" s="348" t="inlineStr">
        <is>
          <t>https://www.cga.ct.gov/current/pub/chap_700.htm#sec_38a-336</t>
        </is>
      </c>
      <c r="E42" s="348" t="inlineStr">
        <is>
          <t>Official / government source</t>
        </is>
      </c>
      <c r="F42" s="348" t="inlineStr">
        <is>
          <t>Low</t>
        </is>
      </c>
    </row>
    <row r="43">
      <c r="A43" s="348" t="inlineStr">
        <is>
          <t>Delaware</t>
        </is>
      </c>
      <c r="B43" s="348" t="inlineStr">
        <is>
          <t>Bad Faith</t>
        </is>
      </c>
      <c r="C43" s="348" t="inlineStr">
        <is>
          <t>Tackett v. State Farm; Connelly v. State Farm; 18 Del. C. § 2304</t>
        </is>
      </c>
      <c r="D43" s="348" t="inlineStr">
        <is>
          <t>https://law.justia.com/cases/delaware/supreme-court/1995/653-a-2d-254-1.html</t>
        </is>
      </c>
      <c r="E43" s="348" t="inlineStr">
        <is>
          <t>Non-government / secondary source</t>
        </is>
      </c>
      <c r="F43" s="348" t="inlineStr">
        <is>
          <t>Medium</t>
        </is>
      </c>
    </row>
    <row r="44">
      <c r="A44" s="348" t="inlineStr">
        <is>
          <t>Delaware</t>
        </is>
      </c>
      <c r="B44" s="348" t="inlineStr">
        <is>
          <t>Claims Deadlines</t>
        </is>
      </c>
      <c r="C44" s="348" t="inlineStr">
        <is>
          <t>18 Del. Admin. Code 902 and 903</t>
        </is>
      </c>
      <c r="D44" s="348" t="inlineStr">
        <is>
          <t>https://regulations.delaware.gov/AdminCode/title18/900/</t>
        </is>
      </c>
      <c r="E44" s="348" t="inlineStr">
        <is>
          <t>Official / government source</t>
        </is>
      </c>
      <c r="F44" s="348" t="inlineStr">
        <is>
          <t>Low</t>
        </is>
      </c>
    </row>
    <row r="45">
      <c r="A45" s="348" t="inlineStr">
        <is>
          <t>Delaware</t>
        </is>
      </c>
      <c r="B45" s="348" t="inlineStr">
        <is>
          <t>Comparative Negligence</t>
        </is>
      </c>
      <c r="C45" s="348" t="inlineStr">
        <is>
          <t>10 Del. C. § 8132</t>
        </is>
      </c>
      <c r="D45" s="348" t="inlineStr">
        <is>
          <t>https://delcode.delaware.gov/title10/c081/sc01/index.html#8132</t>
        </is>
      </c>
      <c r="E45" s="348" t="inlineStr">
        <is>
          <t>Official / government source</t>
        </is>
      </c>
      <c r="F45" s="348" t="inlineStr">
        <is>
          <t>Low</t>
        </is>
      </c>
    </row>
    <row r="46">
      <c r="A46" s="348" t="inlineStr">
        <is>
          <t>Delaware</t>
        </is>
      </c>
      <c r="B46" s="348" t="inlineStr">
        <is>
          <t>PIP / No-Fault</t>
        </is>
      </c>
      <c r="C46" s="348" t="inlineStr">
        <is>
          <t>21 Del. C. § 2118</t>
        </is>
      </c>
      <c r="D46" s="348" t="inlineStr">
        <is>
          <t>https://delcode.delaware.gov/title21/c021/sc01/index.html#2118</t>
        </is>
      </c>
      <c r="E46" s="348" t="inlineStr">
        <is>
          <t>Official / government source</t>
        </is>
      </c>
      <c r="F46" s="348" t="inlineStr">
        <is>
          <t>Low</t>
        </is>
      </c>
    </row>
    <row r="47">
      <c r="A47" s="348" t="inlineStr">
        <is>
          <t>Delaware</t>
        </is>
      </c>
      <c r="B47" s="348" t="inlineStr">
        <is>
          <t>Policy Disclosure</t>
        </is>
      </c>
      <c r="C47" s="348" t="inlineStr">
        <is>
          <t>21 Del. C. § 2907(d)</t>
        </is>
      </c>
      <c r="D47" s="348" t="inlineStr">
        <is>
          <t>https://delcode.delaware.gov/title21/c029/sc01/index.html#2907</t>
        </is>
      </c>
      <c r="E47" s="348" t="inlineStr">
        <is>
          <t>Official / government source</t>
        </is>
      </c>
      <c r="F47" s="348" t="inlineStr">
        <is>
          <t>Low</t>
        </is>
      </c>
    </row>
    <row r="48">
      <c r="A48" s="348" t="inlineStr">
        <is>
          <t>Delaware</t>
        </is>
      </c>
      <c r="B48" s="348" t="inlineStr">
        <is>
          <t>UM/UIM Rules</t>
        </is>
      </c>
      <c r="C48" s="348" t="inlineStr">
        <is>
          <t>18 Del. C. § 3902</t>
        </is>
      </c>
      <c r="D48" s="348" t="inlineStr">
        <is>
          <t>https://delcode.delaware.gov/title18/c039/</t>
        </is>
      </c>
      <c r="E48" s="348" t="inlineStr">
        <is>
          <t>Official / government source</t>
        </is>
      </c>
      <c r="F48" s="348" t="inlineStr">
        <is>
          <t>Low</t>
        </is>
      </c>
    </row>
    <row r="49">
      <c r="A49" s="348" t="inlineStr">
        <is>
          <t>Florida</t>
        </is>
      </c>
      <c r="B49" s="348" t="inlineStr">
        <is>
          <t>Bad Faith</t>
        </is>
      </c>
      <c r="C49" s="348" t="inlineStr">
        <is>
          <t>Fla. Stat. § 624.155</t>
        </is>
      </c>
      <c r="D49" s="348" t="inlineStr">
        <is>
          <t>https://www.leg.state.fl.us/statutes/index.cfm?App_mode=Display_Statute&amp;URL=0600-0699/0624/Sections/0624.155.html</t>
        </is>
      </c>
      <c r="E49" s="348" t="inlineStr">
        <is>
          <t>Official / government source</t>
        </is>
      </c>
      <c r="F49" s="348" t="inlineStr">
        <is>
          <t>Low</t>
        </is>
      </c>
    </row>
    <row r="50">
      <c r="A50" s="348" t="inlineStr">
        <is>
          <t>Florida</t>
        </is>
      </c>
      <c r="B50" s="348" t="inlineStr">
        <is>
          <t>Claims Deadlines</t>
        </is>
      </c>
      <c r="C50" s="348" t="inlineStr">
        <is>
          <t>Fla. Stat. §§ 626.9541, 627.4265, 627.70131</t>
        </is>
      </c>
      <c r="D50" s="348" t="inlineStr">
        <is>
          <t>https://www.leg.state.fl.us/statutes/</t>
        </is>
      </c>
      <c r="E50" s="348" t="inlineStr">
        <is>
          <t>Official / government source</t>
        </is>
      </c>
      <c r="F50" s="348" t="inlineStr">
        <is>
          <t>Low</t>
        </is>
      </c>
    </row>
    <row r="51">
      <c r="A51" s="348" t="inlineStr">
        <is>
          <t>Florida</t>
        </is>
      </c>
      <c r="B51" s="348" t="inlineStr">
        <is>
          <t>Comparative Negligence</t>
        </is>
      </c>
      <c r="C51" s="348" t="inlineStr">
        <is>
          <t>Fla. Stat. § 768.81</t>
        </is>
      </c>
      <c r="D51" s="348" t="inlineStr">
        <is>
          <t>https://www.leg.state.fl.us/statutes/index.cfm?App_mode=Display_Statute&amp;URL=0700-0799/0768/Sections/0768.81.html</t>
        </is>
      </c>
      <c r="E51" s="348" t="inlineStr">
        <is>
          <t>Official / government source</t>
        </is>
      </c>
      <c r="F51" s="348" t="inlineStr">
        <is>
          <t>Low</t>
        </is>
      </c>
    </row>
    <row r="52">
      <c r="A52" s="348" t="inlineStr">
        <is>
          <t>Florida</t>
        </is>
      </c>
      <c r="B52" s="348" t="inlineStr">
        <is>
          <t>PIP / No-Fault</t>
        </is>
      </c>
      <c r="C52" s="348" t="inlineStr">
        <is>
          <t>Fla. Stat. §§ 627.736; 627.737</t>
        </is>
      </c>
      <c r="D52" s="348" t="inlineStr">
        <is>
          <t>https://www.leg.state.fl.us/statutes/index.cfm?App_mode=Display_Statute&amp;URL=0600-0699/0627/Sections/0627.736.html</t>
        </is>
      </c>
      <c r="E52" s="348" t="inlineStr">
        <is>
          <t>Official / government source</t>
        </is>
      </c>
      <c r="F52" s="348" t="inlineStr">
        <is>
          <t>Low</t>
        </is>
      </c>
    </row>
    <row r="53">
      <c r="A53" s="348" t="inlineStr">
        <is>
          <t>Florida</t>
        </is>
      </c>
      <c r="B53" s="348" t="inlineStr">
        <is>
          <t>Policy Disclosure</t>
        </is>
      </c>
      <c r="C53" s="348" t="inlineStr">
        <is>
          <t>Fla. Stat. § 627.4137</t>
        </is>
      </c>
      <c r="D53" s="348" t="inlineStr">
        <is>
          <t>https://www.leg.state.fl.us/Statutes/index.cfm?App_mode=Display_Statute&amp;URL=0600-0699/0627/Sections/0627.4137.html</t>
        </is>
      </c>
      <c r="E53" s="348" t="inlineStr">
        <is>
          <t>Official / government source</t>
        </is>
      </c>
      <c r="F53" s="348" t="inlineStr">
        <is>
          <t>Low</t>
        </is>
      </c>
    </row>
    <row r="54">
      <c r="A54" s="348" t="inlineStr">
        <is>
          <t>Florida</t>
        </is>
      </c>
      <c r="B54" s="348" t="inlineStr">
        <is>
          <t>UM/UIM Rules</t>
        </is>
      </c>
      <c r="C54" s="348" t="inlineStr">
        <is>
          <t>Fla. Stat. § 627.727</t>
        </is>
      </c>
      <c r="D54" s="348" t="inlineStr">
        <is>
          <t>https://www.leg.state.fl.us/statutes/index.cfm?App_mode=Display_Statute&amp;URL=0600-0699/0627/Sections/0627.727.html</t>
        </is>
      </c>
      <c r="E54" s="348" t="inlineStr">
        <is>
          <t>Official / government source</t>
        </is>
      </c>
      <c r="F54" s="348" t="inlineStr">
        <is>
          <t>Low</t>
        </is>
      </c>
    </row>
    <row r="55">
      <c r="A55" s="348" t="inlineStr">
        <is>
          <t>Georgia</t>
        </is>
      </c>
      <c r="B55" s="348" t="inlineStr">
        <is>
          <t>Bad Faith</t>
        </is>
      </c>
      <c r="C55" s="348" t="inlineStr">
        <is>
          <t>O.C.G.A. §§ 33-4-6, 33-4-7; Southern General Ins. Co. v. Holt</t>
        </is>
      </c>
      <c r="D55" s="348" t="inlineStr">
        <is>
          <t>https://law.justia.com/codes/georgia/title-33/chapter-4/section-33-4-7/</t>
        </is>
      </c>
      <c r="E55" s="348" t="inlineStr">
        <is>
          <t>Non-government / secondary source</t>
        </is>
      </c>
      <c r="F55" s="348" t="inlineStr">
        <is>
          <t>Medium</t>
        </is>
      </c>
    </row>
    <row r="56">
      <c r="A56" s="348" t="inlineStr">
        <is>
          <t>Georgia</t>
        </is>
      </c>
      <c r="B56" s="348" t="inlineStr">
        <is>
          <t>Claims Deadlines</t>
        </is>
      </c>
      <c r="C56" s="348" t="inlineStr">
        <is>
          <t>Ga. Comp. R. &amp; Regs. 120-2-52-.01 to .03</t>
        </is>
      </c>
      <c r="D56" s="348" t="inlineStr">
        <is>
          <t>https://rules.sos.ga.gov/gac/120-2-52</t>
        </is>
      </c>
      <c r="E56" s="348" t="inlineStr">
        <is>
          <t>Official / government source</t>
        </is>
      </c>
      <c r="F56" s="348" t="inlineStr">
        <is>
          <t>Low</t>
        </is>
      </c>
    </row>
    <row r="57">
      <c r="A57" s="348" t="inlineStr">
        <is>
          <t>Georgia</t>
        </is>
      </c>
      <c r="B57" s="348" t="inlineStr">
        <is>
          <t>Comparative Negligence</t>
        </is>
      </c>
      <c r="C57" s="348" t="inlineStr">
        <is>
          <t>O.C.G.A. § 51-12-33</t>
        </is>
      </c>
      <c r="D57" s="348" t="inlineStr">
        <is>
          <t>https://law.justia.com/codes/georgia/title-51/chapter-12/article-2/section-51-12-33/</t>
        </is>
      </c>
      <c r="E57" s="348" t="inlineStr">
        <is>
          <t>Non-government / secondary source</t>
        </is>
      </c>
      <c r="F57" s="348" t="inlineStr">
        <is>
          <t>Medium</t>
        </is>
      </c>
    </row>
    <row r="58">
      <c r="A58" s="348" t="inlineStr">
        <is>
          <t>Georgia</t>
        </is>
      </c>
      <c r="B58" s="348" t="inlineStr">
        <is>
          <t>PIP / No-Fault</t>
        </is>
      </c>
      <c r="C58" s="348" t="inlineStr">
        <is>
          <t>O.C.G.A. § 33-34-4</t>
        </is>
      </c>
      <c r="D58" s="348" t="inlineStr">
        <is>
          <t>https://www.legis.ga.gov</t>
        </is>
      </c>
      <c r="E58" s="348" t="inlineStr">
        <is>
          <t>Official / government source</t>
        </is>
      </c>
      <c r="F58" s="348" t="inlineStr">
        <is>
          <t>Low</t>
        </is>
      </c>
    </row>
    <row r="59">
      <c r="A59" s="348" t="inlineStr">
        <is>
          <t>Georgia</t>
        </is>
      </c>
      <c r="B59" s="348" t="inlineStr">
        <is>
          <t>Policy Disclosure</t>
        </is>
      </c>
      <c r="C59" s="348" t="inlineStr">
        <is>
          <t>O.C.G.A. § 33-3-28</t>
        </is>
      </c>
      <c r="D59" s="348" t="inlineStr">
        <is>
          <t>https://law.justia.com/codes/georgia/title-33/chapter-3/section-33-3-28/</t>
        </is>
      </c>
      <c r="E59" s="348" t="inlineStr">
        <is>
          <t>Non-government / secondary source</t>
        </is>
      </c>
      <c r="F59" s="348" t="inlineStr">
        <is>
          <t>Medium</t>
        </is>
      </c>
    </row>
    <row r="60">
      <c r="A60" s="348" t="inlineStr">
        <is>
          <t>Georgia</t>
        </is>
      </c>
      <c r="B60" s="348" t="inlineStr">
        <is>
          <t>UM/UIM Rules</t>
        </is>
      </c>
      <c r="C60" s="348" t="inlineStr">
        <is>
          <t>O.C.G.A. § 33-7-11</t>
        </is>
      </c>
      <c r="D60" s="348" t="inlineStr">
        <is>
          <t>https://law.justia.com/codes/georgia/title-33/chapter-7/section-33-7-11/</t>
        </is>
      </c>
      <c r="E60" s="348" t="inlineStr">
        <is>
          <t>Non-government / secondary source</t>
        </is>
      </c>
      <c r="F60" s="348" t="inlineStr">
        <is>
          <t>Medium</t>
        </is>
      </c>
    </row>
    <row r="61">
      <c r="A61" s="348" t="inlineStr">
        <is>
          <t>Hawaii</t>
        </is>
      </c>
      <c r="B61" s="348" t="inlineStr">
        <is>
          <t>Bad Faith</t>
        </is>
      </c>
      <c r="C61" s="348" t="inlineStr">
        <is>
          <t>Best Place, Inc. v. Penn America Insurance Co.</t>
        </is>
      </c>
      <c r="D61" s="348" t="inlineStr">
        <is>
          <t>https://oaoa.hawaii.gov/jud/ica19968.htm</t>
        </is>
      </c>
      <c r="E61" s="348" t="inlineStr">
        <is>
          <t>Official / government source</t>
        </is>
      </c>
      <c r="F61" s="348" t="inlineStr">
        <is>
          <t>Low</t>
        </is>
      </c>
    </row>
    <row r="62">
      <c r="A62" s="348" t="inlineStr">
        <is>
          <t>Hawaii</t>
        </is>
      </c>
      <c r="B62" s="348" t="inlineStr">
        <is>
          <t>Claims Deadlines</t>
        </is>
      </c>
      <c r="C62" s="348" t="inlineStr">
        <is>
          <t>Haw. Rev. Stat. § 431:13-103</t>
        </is>
      </c>
      <c r="D62" s="348" t="inlineStr">
        <is>
          <t>https://www.capitol.hawaii.gov/hrscurrent/Vol09_Ch0431-0435H/HRS0431/HRS_0431-0013-0103.htm</t>
        </is>
      </c>
      <c r="E62" s="348" t="inlineStr">
        <is>
          <t>Official / government source</t>
        </is>
      </c>
      <c r="F62" s="348" t="inlineStr">
        <is>
          <t>Low</t>
        </is>
      </c>
    </row>
    <row r="63">
      <c r="A63" s="348" t="inlineStr">
        <is>
          <t>Hawaii</t>
        </is>
      </c>
      <c r="B63" s="348" t="inlineStr">
        <is>
          <t>Comparative Negligence</t>
        </is>
      </c>
      <c r="C63" s="348" t="inlineStr">
        <is>
          <t>Haw. Rev. Stat. § 663-31</t>
        </is>
      </c>
      <c r="D63" s="348" t="inlineStr">
        <is>
          <t>https://www.capitol.hawaii.gov/hrscurrent/Vol13_Ch0601-0676/HRS0663/HRS_0663-0031.htm</t>
        </is>
      </c>
      <c r="E63" s="348" t="inlineStr">
        <is>
          <t>Official / government source</t>
        </is>
      </c>
      <c r="F63" s="348" t="inlineStr">
        <is>
          <t>Low</t>
        </is>
      </c>
    </row>
    <row r="64">
      <c r="A64" s="348" t="inlineStr">
        <is>
          <t>Hawaii</t>
        </is>
      </c>
      <c r="B64" s="348" t="inlineStr">
        <is>
          <t>PIP / No-Fault</t>
        </is>
      </c>
      <c r="C64" s="348" t="inlineStr">
        <is>
          <t>Haw. Rev. Stat. §§ 431:10C-103.5; 431:10C-306</t>
        </is>
      </c>
      <c r="D64" s="348" t="inlineStr">
        <is>
          <t>https://law.justia.com/codes/hawaii/title-24/chapter-431/section-431-10c-103-5/</t>
        </is>
      </c>
      <c r="E64" s="348" t="inlineStr">
        <is>
          <t>Non-government / secondary source</t>
        </is>
      </c>
      <c r="F64" s="348" t="inlineStr">
        <is>
          <t>Medium</t>
        </is>
      </c>
    </row>
    <row r="65">
      <c r="A65" s="348" t="inlineStr">
        <is>
          <t>Hawaii</t>
        </is>
      </c>
      <c r="B65" s="348" t="inlineStr">
        <is>
          <t>Policy Disclosure</t>
        </is>
      </c>
      <c r="C65" s="348" t="inlineStr">
        <is>
          <t>Haw. R. Civ. P. 26(b)(3)</t>
        </is>
      </c>
      <c r="D65" s="348" t="inlineStr">
        <is>
          <t>https://www.courts.state.hi.us/wp-content/uploads/2024/09/hrcp_ada.pdf</t>
        </is>
      </c>
      <c r="E65" s="348" t="inlineStr">
        <is>
          <t>Official / government source</t>
        </is>
      </c>
      <c r="F65" s="348" t="inlineStr">
        <is>
          <t>Low</t>
        </is>
      </c>
    </row>
    <row r="66">
      <c r="A66" s="348" t="inlineStr">
        <is>
          <t>Hawaii</t>
        </is>
      </c>
      <c r="B66" s="348" t="inlineStr">
        <is>
          <t>UM/UIM Rules</t>
        </is>
      </c>
      <c r="C66" s="348" t="inlineStr">
        <is>
          <t>Haw. Rev. Stat. § 431:10C-301</t>
        </is>
      </c>
      <c r="D66" s="348" t="inlineStr">
        <is>
          <t>https://www.capitol.hawaii.gov/hrscurrent/Vol09_Ch0431-0435H/HRS0431/HRS_0431-0010C-0301.htm</t>
        </is>
      </c>
      <c r="E66" s="348" t="inlineStr">
        <is>
          <t>Official / government source</t>
        </is>
      </c>
      <c r="F66" s="348" t="inlineStr">
        <is>
          <t>Low</t>
        </is>
      </c>
    </row>
    <row r="67">
      <c r="A67" s="348" t="inlineStr">
        <is>
          <t>Idaho</t>
        </is>
      </c>
      <c r="B67" s="348" t="inlineStr">
        <is>
          <t>Claims Deadlines</t>
        </is>
      </c>
      <c r="C67" s="348" t="inlineStr">
        <is>
          <t>Idaho Code § 41-1329(2)-(6), (14)</t>
        </is>
      </c>
      <c r="D67" s="348" t="inlineStr">
        <is>
          <t>https://legislature.idaho.gov/statutesrules/idstat/Title41/T41CH13/SECT41-1329/</t>
        </is>
      </c>
      <c r="E67" s="348" t="inlineStr">
        <is>
          <t>Official / government source</t>
        </is>
      </c>
      <c r="F67" s="348" t="inlineStr">
        <is>
          <t>Low</t>
        </is>
      </c>
    </row>
    <row r="68">
      <c r="A68" s="348" t="inlineStr">
        <is>
          <t>Idaho</t>
        </is>
      </c>
      <c r="B68" s="348" t="inlineStr">
        <is>
          <t>Comparative Negligence</t>
        </is>
      </c>
      <c r="C68" s="348" t="inlineStr">
        <is>
          <t>Idaho Code § 6-801</t>
        </is>
      </c>
      <c r="D68" s="348" t="inlineStr">
        <is>
          <t>https://legislature.idaho.gov/statutesrules/idstat/title6/t6ch8/sect6-801/</t>
        </is>
      </c>
      <c r="E68" s="348" t="inlineStr">
        <is>
          <t>Official / government source</t>
        </is>
      </c>
      <c r="F68" s="348" t="inlineStr">
        <is>
          <t>Low</t>
        </is>
      </c>
    </row>
    <row r="69">
      <c r="A69" s="348" t="inlineStr">
        <is>
          <t>Idaho</t>
        </is>
      </c>
      <c r="B69" s="348" t="inlineStr">
        <is>
          <t>PIP / No-Fault</t>
        </is>
      </c>
      <c r="C69" s="348" t="inlineStr">
        <is>
          <t>Idaho Code § 49-117; Idaho DOI Required Auto Coverage</t>
        </is>
      </c>
      <c r="D69" s="348" t="inlineStr">
        <is>
          <t>https://doi.idaho.gov/consumers/auto-insurance/required-auto-coverage/</t>
        </is>
      </c>
      <c r="E69" s="348" t="inlineStr">
        <is>
          <t>Official / government source</t>
        </is>
      </c>
      <c r="F69" s="348" t="inlineStr">
        <is>
          <t>Low</t>
        </is>
      </c>
    </row>
    <row r="70">
      <c r="A70" s="348" t="inlineStr">
        <is>
          <t>Idaho</t>
        </is>
      </c>
      <c r="B70" s="348" t="inlineStr">
        <is>
          <t>Policy Disclosure</t>
        </is>
      </c>
      <c r="C70" s="348" t="inlineStr">
        <is>
          <t>Idaho R. Civ. P. 26(b)(2)</t>
        </is>
      </c>
      <c r="D70" s="348" t="inlineStr">
        <is>
          <t>https://isc.idaho.gov/rules-procedure/ircp</t>
        </is>
      </c>
      <c r="E70" s="348" t="inlineStr">
        <is>
          <t>Official / government source</t>
        </is>
      </c>
      <c r="F70" s="348" t="inlineStr">
        <is>
          <t>Low</t>
        </is>
      </c>
    </row>
    <row r="71">
      <c r="A71" s="348" t="inlineStr">
        <is>
          <t>Idaho</t>
        </is>
      </c>
      <c r="B71" s="348" t="inlineStr">
        <is>
          <t>UM/UIM Rules</t>
        </is>
      </c>
      <c r="C71" s="348" t="inlineStr">
        <is>
          <t>Idaho Code § 41-2502</t>
        </is>
      </c>
      <c r="D71" s="348" t="inlineStr">
        <is>
          <t>https://legislature.idaho.gov/statutesrules/idstat/title41/t41ch25/sect41-2502/</t>
        </is>
      </c>
      <c r="E71" s="348" t="inlineStr">
        <is>
          <t>Official / government source</t>
        </is>
      </c>
      <c r="F71" s="348" t="inlineStr">
        <is>
          <t>Low</t>
        </is>
      </c>
    </row>
    <row r="72">
      <c r="A72" s="348" t="inlineStr">
        <is>
          <t>Illinois</t>
        </is>
      </c>
      <c r="B72" s="348" t="inlineStr">
        <is>
          <t>Bad Faith</t>
        </is>
      </c>
      <c r="C72" s="348" t="inlineStr">
        <is>
          <t>215 ILCS 5/155; Cramer v. Insurance Exchange Agency</t>
        </is>
      </c>
      <c r="D72" s="348" t="inlineStr">
        <is>
          <t>https://www.ilga.gov/Documents/legislation/ilcs/documents/021500050K155.htm</t>
        </is>
      </c>
      <c r="E72" s="348" t="inlineStr">
        <is>
          <t>Official / government source</t>
        </is>
      </c>
      <c r="F72" s="348" t="inlineStr">
        <is>
          <t>Low</t>
        </is>
      </c>
    </row>
    <row r="73">
      <c r="A73" s="348" t="inlineStr">
        <is>
          <t>Illinois</t>
        </is>
      </c>
      <c r="B73" s="348" t="inlineStr">
        <is>
          <t>Claims Deadlines</t>
        </is>
      </c>
      <c r="C73" s="348" t="inlineStr">
        <is>
          <t>50 Ill. Adm. Code 919.50, 919.70, 919.80</t>
        </is>
      </c>
      <c r="D73" s="348" t="inlineStr">
        <is>
          <t>https://www.ilga.gov/commission/jcar/admincode/050/05000919sections.html</t>
        </is>
      </c>
      <c r="E73" s="348" t="inlineStr">
        <is>
          <t>Official / government source</t>
        </is>
      </c>
      <c r="F73" s="348" t="inlineStr">
        <is>
          <t>Low</t>
        </is>
      </c>
    </row>
    <row r="74">
      <c r="A74" s="348" t="inlineStr">
        <is>
          <t>Illinois</t>
        </is>
      </c>
      <c r="B74" s="348" t="inlineStr">
        <is>
          <t>Comparative Negligence</t>
        </is>
      </c>
      <c r="C74" s="348" t="inlineStr">
        <is>
          <t>735 ILCS 5/2-1116</t>
        </is>
      </c>
      <c r="D74" s="348" t="inlineStr">
        <is>
          <t>https://www.ilga.gov/legislation/ilcs/documents/073500050K2-1116.htm</t>
        </is>
      </c>
      <c r="E74" s="348" t="inlineStr">
        <is>
          <t>Official / government source</t>
        </is>
      </c>
      <c r="F74" s="348" t="inlineStr">
        <is>
          <t>Low</t>
        </is>
      </c>
    </row>
    <row r="75">
      <c r="A75" s="348" t="inlineStr">
        <is>
          <t>Illinois</t>
        </is>
      </c>
      <c r="B75" s="348" t="inlineStr">
        <is>
          <t>PIP / No-Fault</t>
        </is>
      </c>
      <c r="C75" s="348" t="inlineStr">
        <is>
          <t>625 ILCS 5/7-601</t>
        </is>
      </c>
      <c r="D75" s="348" t="inlineStr">
        <is>
          <t>https://www.ilga.gov/legislation/ilcs/ilcs3.asp?ActID=1815&amp;ChapterID=49</t>
        </is>
      </c>
      <c r="E75" s="348" t="inlineStr">
        <is>
          <t>Official / government source</t>
        </is>
      </c>
      <c r="F75" s="348" t="inlineStr">
        <is>
          <t>Low</t>
        </is>
      </c>
    </row>
    <row r="76">
      <c r="A76" s="348" t="inlineStr">
        <is>
          <t>Illinois</t>
        </is>
      </c>
      <c r="B76" s="348" t="inlineStr">
        <is>
          <t>Policy Disclosure</t>
        </is>
      </c>
      <c r="C76" s="348" t="inlineStr">
        <is>
          <t>215 ILCS 5/143.24b</t>
        </is>
      </c>
      <c r="D76" s="348" t="inlineStr">
        <is>
          <t>https://ilga.gov/documents/legislation/ilcs/documents/021500050K143.24b.htm</t>
        </is>
      </c>
      <c r="E76" s="348" t="inlineStr">
        <is>
          <t>Official / government source</t>
        </is>
      </c>
      <c r="F76" s="348" t="inlineStr">
        <is>
          <t>Low</t>
        </is>
      </c>
    </row>
    <row r="77">
      <c r="A77" s="348" t="inlineStr">
        <is>
          <t>Illinois</t>
        </is>
      </c>
      <c r="B77" s="348" t="inlineStr">
        <is>
          <t>UM/UIM Rules</t>
        </is>
      </c>
      <c r="C77" s="348" t="inlineStr">
        <is>
          <t>215 ILCS 5/143a; 215 ILCS 5/143a-2</t>
        </is>
      </c>
      <c r="D77" s="348" t="inlineStr">
        <is>
          <t>https://www.ilga.gov/legislation/ilcs/ilcs3.asp?ActID=1249&amp;ChapterID=22</t>
        </is>
      </c>
      <c r="E77" s="348" t="inlineStr">
        <is>
          <t>Official / government source</t>
        </is>
      </c>
      <c r="F77" s="348" t="inlineStr">
        <is>
          <t>Low</t>
        </is>
      </c>
    </row>
    <row r="78">
      <c r="A78" s="348" t="inlineStr">
        <is>
          <t>Indiana</t>
        </is>
      </c>
      <c r="B78" s="348" t="inlineStr">
        <is>
          <t>Bad Faith</t>
        </is>
      </c>
      <c r="C78" s="348" t="inlineStr">
        <is>
          <t>Erie Insurance Co. v. Hickman</t>
        </is>
      </c>
      <c r="D78" s="348" t="inlineStr">
        <is>
          <t>https://law.justia.com/cases/indiana/supreme-court/1993/29s02-9310-cv-1180-4.html</t>
        </is>
      </c>
      <c r="E78" s="348" t="inlineStr">
        <is>
          <t>Non-government / secondary source</t>
        </is>
      </c>
      <c r="F78" s="348" t="inlineStr">
        <is>
          <t>Medium</t>
        </is>
      </c>
    </row>
    <row r="79">
      <c r="A79" s="348" t="inlineStr">
        <is>
          <t>Indiana</t>
        </is>
      </c>
      <c r="B79" s="348" t="inlineStr">
        <is>
          <t>Claims Deadlines</t>
        </is>
      </c>
      <c r="C79" s="348" t="inlineStr">
        <is>
          <t>Ind. Code § 27-4-1-4.5</t>
        </is>
      </c>
      <c r="D79" s="348" t="inlineStr">
        <is>
          <t>https://iga.in.gov/laws/2025/ic/titles/27#27-4-1-4.5</t>
        </is>
      </c>
      <c r="E79" s="348" t="inlineStr">
        <is>
          <t>Official / government source</t>
        </is>
      </c>
      <c r="F79" s="348" t="inlineStr">
        <is>
          <t>Low</t>
        </is>
      </c>
    </row>
    <row r="80">
      <c r="A80" s="348" t="inlineStr">
        <is>
          <t>Indiana</t>
        </is>
      </c>
      <c r="B80" s="348" t="inlineStr">
        <is>
          <t>Comparative Negligence</t>
        </is>
      </c>
      <c r="C80" s="348" t="inlineStr">
        <is>
          <t>Ind. Code § 34-51-2-6</t>
        </is>
      </c>
      <c r="D80" s="348" t="inlineStr">
        <is>
          <t>https://iga.in.gov/laws/2024/ic/titles/34#34-51-2-6</t>
        </is>
      </c>
      <c r="E80" s="348" t="inlineStr">
        <is>
          <t>Official / government source</t>
        </is>
      </c>
      <c r="F80" s="348" t="inlineStr">
        <is>
          <t>Low</t>
        </is>
      </c>
    </row>
    <row r="81">
      <c r="A81" s="348" t="inlineStr">
        <is>
          <t>Indiana</t>
        </is>
      </c>
      <c r="B81" s="348" t="inlineStr">
        <is>
          <t>PIP / No-Fault</t>
        </is>
      </c>
      <c r="C81" s="348" t="inlineStr">
        <is>
          <t>Ind. Code § 9-25-4-5</t>
        </is>
      </c>
      <c r="D81" s="348" t="inlineStr">
        <is>
          <t>https://iga.in.gov/laws/2025/ic/titles/9#9-25-4-5</t>
        </is>
      </c>
      <c r="E81" s="348" t="inlineStr">
        <is>
          <t>Official / government source</t>
        </is>
      </c>
      <c r="F81" s="348" t="inlineStr">
        <is>
          <t>Low</t>
        </is>
      </c>
    </row>
    <row r="82">
      <c r="A82" s="348" t="inlineStr">
        <is>
          <t>Indiana</t>
        </is>
      </c>
      <c r="B82" s="348" t="inlineStr">
        <is>
          <t>Policy Disclosure</t>
        </is>
      </c>
      <c r="C82" s="348" t="inlineStr">
        <is>
          <t>Ind. R. Trial P. 26(B)(2)</t>
        </is>
      </c>
      <c r="D82" s="348" t="inlineStr">
        <is>
          <t>https://rules.incourts.gov/Content/trial/rule26/current.htm</t>
        </is>
      </c>
      <c r="E82" s="348" t="inlineStr">
        <is>
          <t>Official / government source</t>
        </is>
      </c>
      <c r="F82" s="348" t="inlineStr">
        <is>
          <t>Low</t>
        </is>
      </c>
    </row>
    <row r="83">
      <c r="A83" s="348" t="inlineStr">
        <is>
          <t>Indiana</t>
        </is>
      </c>
      <c r="B83" s="348" t="inlineStr">
        <is>
          <t>UM/UIM Rules</t>
        </is>
      </c>
      <c r="C83" s="348" t="inlineStr">
        <is>
          <t>Ind. Code § 27-7-5-2</t>
        </is>
      </c>
      <c r="D83" s="348" t="inlineStr">
        <is>
          <t>https://iga.in.gov/laws/2025/ic/titles/27#27-7-5-2</t>
        </is>
      </c>
      <c r="E83" s="348" t="inlineStr">
        <is>
          <t>Official / government source</t>
        </is>
      </c>
      <c r="F83" s="348" t="inlineStr">
        <is>
          <t>Low</t>
        </is>
      </c>
    </row>
    <row r="84">
      <c r="A84" s="348" t="inlineStr">
        <is>
          <t>Iowa</t>
        </is>
      </c>
      <c r="B84" s="348" t="inlineStr">
        <is>
          <t>Bad Faith</t>
        </is>
      </c>
      <c r="C84" s="348" t="inlineStr">
        <is>
          <t>Dolan v. Aid Insurance Co.</t>
        </is>
      </c>
      <c r="D84" s="348" t="inlineStr">
        <is>
          <t>https://law.justia.com/cases/iowa/supreme-court/1988/87-1380-0.html</t>
        </is>
      </c>
      <c r="E84" s="348" t="inlineStr">
        <is>
          <t>Non-government / secondary source</t>
        </is>
      </c>
      <c r="F84" s="348" t="inlineStr">
        <is>
          <t>Medium</t>
        </is>
      </c>
    </row>
    <row r="85">
      <c r="A85" s="348" t="inlineStr">
        <is>
          <t>Iowa</t>
        </is>
      </c>
      <c r="B85" s="348" t="inlineStr">
        <is>
          <t>Claims Deadlines</t>
        </is>
      </c>
      <c r="C85" s="348" t="inlineStr">
        <is>
          <t>Iowa Admin. Code r. 191-15.41 to 15.42</t>
        </is>
      </c>
      <c r="D85" s="348" t="inlineStr">
        <is>
          <t>https://www.legis.iowa.gov/law/administrativeRules/rules?agency=191</t>
        </is>
      </c>
      <c r="E85" s="348" t="inlineStr">
        <is>
          <t>Official / government source</t>
        </is>
      </c>
      <c r="F85" s="348" t="inlineStr">
        <is>
          <t>Low</t>
        </is>
      </c>
    </row>
    <row r="86">
      <c r="A86" s="348" t="inlineStr">
        <is>
          <t>Iowa</t>
        </is>
      </c>
      <c r="B86" s="348" t="inlineStr">
        <is>
          <t>Comparative Negligence</t>
        </is>
      </c>
      <c r="C86" s="348" t="inlineStr">
        <is>
          <t>Iowa Code § 668.3</t>
        </is>
      </c>
      <c r="D86" s="348" t="inlineStr">
        <is>
          <t>https://www.legis.iowa.gov/docs/code/668.3.pdf</t>
        </is>
      </c>
      <c r="E86" s="348" t="inlineStr">
        <is>
          <t>Official / government source</t>
        </is>
      </c>
      <c r="F86" s="348" t="inlineStr">
        <is>
          <t>Low</t>
        </is>
      </c>
    </row>
    <row r="87">
      <c r="A87" s="348" t="inlineStr">
        <is>
          <t>Iowa</t>
        </is>
      </c>
      <c r="B87" s="348" t="inlineStr">
        <is>
          <t>PIP / No-Fault</t>
        </is>
      </c>
      <c r="C87" s="348" t="inlineStr">
        <is>
          <t>Iowa Code § 321A.21</t>
        </is>
      </c>
      <c r="D87" s="348" t="inlineStr">
        <is>
          <t>https://www.legis.iowa.gov/law/iowaCode</t>
        </is>
      </c>
      <c r="E87" s="348" t="inlineStr">
        <is>
          <t>Official / government source</t>
        </is>
      </c>
      <c r="F87" s="348" t="inlineStr">
        <is>
          <t>Low</t>
        </is>
      </c>
    </row>
    <row r="88">
      <c r="A88" s="348" t="inlineStr">
        <is>
          <t>Iowa</t>
        </is>
      </c>
      <c r="B88" s="348" t="inlineStr">
        <is>
          <t>Policy Disclosure</t>
        </is>
      </c>
      <c r="C88" s="348" t="inlineStr">
        <is>
          <t>Iowa R. Civ. P. 1.500(1)(a)(4); 1.503(2)</t>
        </is>
      </c>
      <c r="D88" s="348" t="inlineStr">
        <is>
          <t>https://www.legis.iowa.gov/docs/ACO/CourtRulesChapter/1.pdf</t>
        </is>
      </c>
      <c r="E88" s="348" t="inlineStr">
        <is>
          <t>Official / government source</t>
        </is>
      </c>
      <c r="F88" s="348" t="inlineStr">
        <is>
          <t>Low</t>
        </is>
      </c>
    </row>
    <row r="89">
      <c r="A89" s="348" t="inlineStr">
        <is>
          <t>Iowa</t>
        </is>
      </c>
      <c r="B89" s="348" t="inlineStr">
        <is>
          <t>UM/UIM Rules</t>
        </is>
      </c>
      <c r="C89" s="348" t="inlineStr">
        <is>
          <t>Iowa Code §§ 516A.1; 516A.2</t>
        </is>
      </c>
      <c r="D89" s="348" t="inlineStr">
        <is>
          <t>https://www.legis.iowa.gov/docs/code/516A.1.pdf</t>
        </is>
      </c>
      <c r="E89" s="348" t="inlineStr">
        <is>
          <t>Official / government source</t>
        </is>
      </c>
      <c r="F89" s="348" t="inlineStr">
        <is>
          <t>Low</t>
        </is>
      </c>
    </row>
    <row r="90">
      <c r="A90" s="348" t="inlineStr">
        <is>
          <t>Kansas</t>
        </is>
      </c>
      <c r="B90" s="348" t="inlineStr">
        <is>
          <t>Bad Faith</t>
        </is>
      </c>
      <c r="C90" s="348" t="inlineStr">
        <is>
          <t>Glenn v. Fleming; Spencer v. Aetna Life &amp; Casualty</t>
        </is>
      </c>
      <c r="D90" s="348" t="inlineStr">
        <is>
          <t>https://law.justia.com/cases/kansas/supreme-court/1990/63-230-3.html</t>
        </is>
      </c>
      <c r="E90" s="348" t="inlineStr">
        <is>
          <t>Non-government / secondary source</t>
        </is>
      </c>
      <c r="F90" s="348" t="inlineStr">
        <is>
          <t>Medium</t>
        </is>
      </c>
    </row>
    <row r="91">
      <c r="A91" s="348" t="inlineStr">
        <is>
          <t>Kansas</t>
        </is>
      </c>
      <c r="B91" s="348" t="inlineStr">
        <is>
          <t>Claims Deadlines</t>
        </is>
      </c>
      <c r="C91" s="348" t="inlineStr">
        <is>
          <t>K.S.A. 40-2404(9)(b)-(f), (n); K.S.A. 40-2,126; K.A.R. 40-1-34</t>
        </is>
      </c>
      <c r="D91" s="348" t="inlineStr">
        <is>
          <t>https://ksrevisor.gov/statutes/chapters/ch40/040_024_0004.html; https://ksrevisor.gov/statutes/chapters/ch40/040_002_0126.html</t>
        </is>
      </c>
      <c r="E91" s="348" t="inlineStr">
        <is>
          <t>Official / government source</t>
        </is>
      </c>
      <c r="F91" s="348" t="inlineStr">
        <is>
          <t>Low</t>
        </is>
      </c>
    </row>
    <row r="92">
      <c r="A92" s="348" t="inlineStr">
        <is>
          <t>Kansas</t>
        </is>
      </c>
      <c r="B92" s="348" t="inlineStr">
        <is>
          <t>Comparative Negligence</t>
        </is>
      </c>
      <c r="C92" s="348" t="inlineStr">
        <is>
          <t>K.S.A. § 60-258a</t>
        </is>
      </c>
      <c r="D92" s="348" t="inlineStr">
        <is>
          <t>https://www.ksrevisor.gov/statutes/chapters/ch60/060_002_0058a.html</t>
        </is>
      </c>
      <c r="E92" s="348" t="inlineStr">
        <is>
          <t>Official / government source</t>
        </is>
      </c>
      <c r="F92" s="348" t="inlineStr">
        <is>
          <t>Low</t>
        </is>
      </c>
    </row>
    <row r="93">
      <c r="A93" s="348" t="inlineStr">
        <is>
          <t>Kansas</t>
        </is>
      </c>
      <c r="B93" s="348" t="inlineStr">
        <is>
          <t>PIP / No-Fault</t>
        </is>
      </c>
      <c r="C93" s="348" t="inlineStr">
        <is>
          <t>K.S.A. §§ 40-3107; 40-3117</t>
        </is>
      </c>
      <c r="D93" s="348" t="inlineStr">
        <is>
          <t>https://ksrevisor.gov/statutes/chapters/ch40/040_031_0017.html</t>
        </is>
      </c>
      <c r="E93" s="348" t="inlineStr">
        <is>
          <t>Official / government source</t>
        </is>
      </c>
      <c r="F93" s="348" t="inlineStr">
        <is>
          <t>Low</t>
        </is>
      </c>
    </row>
    <row r="94">
      <c r="A94" s="348" t="inlineStr">
        <is>
          <t>Kansas</t>
        </is>
      </c>
      <c r="B94" s="348" t="inlineStr">
        <is>
          <t>Policy Disclosure</t>
        </is>
      </c>
      <c r="C94" s="348" t="inlineStr">
        <is>
          <t>K.S.A. 60-226(b)(3)(A)</t>
        </is>
      </c>
      <c r="D94" s="348" t="inlineStr">
        <is>
          <t>https://ksrevisor.gov/statutes/chapters/ch60/060_002_0026.html</t>
        </is>
      </c>
      <c r="E94" s="348" t="inlineStr">
        <is>
          <t>Official / government source</t>
        </is>
      </c>
      <c r="F94" s="348" t="inlineStr">
        <is>
          <t>Low</t>
        </is>
      </c>
    </row>
    <row r="95">
      <c r="A95" s="348" t="inlineStr">
        <is>
          <t>Kansas</t>
        </is>
      </c>
      <c r="B95" s="348" t="inlineStr">
        <is>
          <t>UM/UIM Rules</t>
        </is>
      </c>
      <c r="C95" s="348" t="inlineStr">
        <is>
          <t>K.S.A. § 40-284</t>
        </is>
      </c>
      <c r="D95" s="348" t="inlineStr">
        <is>
          <t>https://ksrevisor.gov/statutes/chapters/ch40/040_002_0084.html</t>
        </is>
      </c>
      <c r="E95" s="348" t="inlineStr">
        <is>
          <t>Official / government source</t>
        </is>
      </c>
      <c r="F95" s="348" t="inlineStr">
        <is>
          <t>Low</t>
        </is>
      </c>
    </row>
    <row r="96">
      <c r="A96" s="348" t="inlineStr">
        <is>
          <t>Kentucky</t>
        </is>
      </c>
      <c r="B96" s="348" t="inlineStr">
        <is>
          <t>Bad Faith</t>
        </is>
      </c>
      <c r="C96" s="348" t="inlineStr">
        <is>
          <t>Ky. Rev. Stat. § 304.12-230; Wittmer v. Jones</t>
        </is>
      </c>
      <c r="D96" s="348" t="inlineStr">
        <is>
          <t>https://apps.legislature.ky.gov/law/statutes/statute.aspx?id=17033</t>
        </is>
      </c>
      <c r="E96" s="348" t="inlineStr">
        <is>
          <t>Official / government source</t>
        </is>
      </c>
      <c r="F96" s="348" t="inlineStr">
        <is>
          <t>Low</t>
        </is>
      </c>
    </row>
    <row r="97">
      <c r="A97" s="348" t="inlineStr">
        <is>
          <t>Kentucky</t>
        </is>
      </c>
      <c r="B97" s="348" t="inlineStr">
        <is>
          <t>Claims Deadlines</t>
        </is>
      </c>
      <c r="C97" s="348" t="inlineStr">
        <is>
          <t>806 KAR 12:095; Ky. Rev. Stat. § 304.12-235</t>
        </is>
      </c>
      <c r="D97" s="348" t="inlineStr">
        <is>
          <t>https://apps.legislature.ky.gov/law/kar/titles/806/012/095/</t>
        </is>
      </c>
      <c r="E97" s="348" t="inlineStr">
        <is>
          <t>Official / government source</t>
        </is>
      </c>
      <c r="F97" s="348" t="inlineStr">
        <is>
          <t>Low</t>
        </is>
      </c>
    </row>
    <row r="98">
      <c r="A98" s="348" t="inlineStr">
        <is>
          <t>Kentucky</t>
        </is>
      </c>
      <c r="B98" s="348" t="inlineStr">
        <is>
          <t>Comparative Negligence</t>
        </is>
      </c>
      <c r="C98" s="348" t="inlineStr">
        <is>
          <t>KRS § 411.182; Hilen v. Hays, 673 S.W.2d 713 (Ky. 1984)</t>
        </is>
      </c>
      <c r="D98" s="348" t="inlineStr">
        <is>
          <t>https://apps.legislature.ky.gov/law/statutes/statute.aspx?id=19672</t>
        </is>
      </c>
      <c r="E98" s="348" t="inlineStr">
        <is>
          <t>Official / government source</t>
        </is>
      </c>
      <c r="F98" s="348" t="inlineStr">
        <is>
          <t>Low</t>
        </is>
      </c>
    </row>
    <row r="99">
      <c r="A99" s="348" t="inlineStr">
        <is>
          <t>Kentucky</t>
        </is>
      </c>
      <c r="B99" s="348" t="inlineStr">
        <is>
          <t>PIP / No-Fault</t>
        </is>
      </c>
      <c r="C99" s="348" t="inlineStr">
        <is>
          <t>KRS §§ 304.39-020; 304.39-060</t>
        </is>
      </c>
      <c r="D99" s="348" t="inlineStr">
        <is>
          <t>https://insurance.ky.gov/ppc/newstatic_info.aspx?static_id=24</t>
        </is>
      </c>
      <c r="E99" s="348" t="inlineStr">
        <is>
          <t>Official / government source</t>
        </is>
      </c>
      <c r="F99" s="348" t="inlineStr">
        <is>
          <t>Low</t>
        </is>
      </c>
    </row>
    <row r="100">
      <c r="A100" s="348" t="inlineStr">
        <is>
          <t>Kentucky</t>
        </is>
      </c>
      <c r="B100" s="348" t="inlineStr">
        <is>
          <t>Policy Disclosure</t>
        </is>
      </c>
      <c r="C100" s="348" t="inlineStr">
        <is>
          <t>Ky. R. Civ. P. 26.02(2)</t>
        </is>
      </c>
      <c r="D100" s="348" t="inlineStr">
        <is>
          <t>https://govt.westlaw.com/kyrules/Document/N85A3DA10A91B11DA8F5EE32367A250AE</t>
        </is>
      </c>
      <c r="E100" s="348" t="inlineStr">
        <is>
          <t>Non-government / secondary source</t>
        </is>
      </c>
      <c r="F100" s="348" t="inlineStr">
        <is>
          <t>Medium</t>
        </is>
      </c>
    </row>
    <row r="101">
      <c r="A101" s="348" t="inlineStr">
        <is>
          <t>Kentucky</t>
        </is>
      </c>
      <c r="B101" s="348" t="inlineStr">
        <is>
          <t>UM/UIM Rules</t>
        </is>
      </c>
      <c r="C101" s="348" t="inlineStr">
        <is>
          <t>KRS §§ 304.20-020; 304.39-320</t>
        </is>
      </c>
      <c r="D101" s="348" t="inlineStr">
        <is>
          <t>https://apps.legislature.ky.gov/law/statutes/statute.aspx?id=45815</t>
        </is>
      </c>
      <c r="E101" s="348" t="inlineStr">
        <is>
          <t>Official / government source</t>
        </is>
      </c>
      <c r="F101" s="348" t="inlineStr">
        <is>
          <t>Low</t>
        </is>
      </c>
    </row>
    <row r="102">
      <c r="A102" s="348" t="inlineStr">
        <is>
          <t>Louisiana</t>
        </is>
      </c>
      <c r="B102" s="348" t="inlineStr">
        <is>
          <t>Bad Faith</t>
        </is>
      </c>
      <c r="C102" s="348" t="inlineStr">
        <is>
          <t>La. R.S. 22:1892; La. R.S. 22:1973 / current claims-handling provisions</t>
        </is>
      </c>
      <c r="D102" s="348" t="inlineStr">
        <is>
          <t>https://legis.la.gov/legis/Law.aspx?d=509041</t>
        </is>
      </c>
      <c r="E102" s="348" t="inlineStr">
        <is>
          <t>Official / government source</t>
        </is>
      </c>
      <c r="F102" s="348" t="inlineStr">
        <is>
          <t>Low</t>
        </is>
      </c>
    </row>
    <row r="103">
      <c r="A103" s="348" t="inlineStr">
        <is>
          <t>Louisiana</t>
        </is>
      </c>
      <c r="B103" s="348" t="inlineStr">
        <is>
          <t>Claims Deadlines</t>
        </is>
      </c>
      <c r="C103" s="348" t="inlineStr">
        <is>
          <t>La. Rev. Stat. §§ 22:1892, 22:1811, 22:1821</t>
        </is>
      </c>
      <c r="D103" s="348" t="inlineStr">
        <is>
          <t>https://legis.la.gov/legis/Law.aspx?d=507316</t>
        </is>
      </c>
      <c r="E103" s="348" t="inlineStr">
        <is>
          <t>Official / government source</t>
        </is>
      </c>
      <c r="F103" s="348" t="inlineStr">
        <is>
          <t>Low</t>
        </is>
      </c>
    </row>
    <row r="104">
      <c r="A104" s="348" t="inlineStr">
        <is>
          <t>Louisiana</t>
        </is>
      </c>
      <c r="B104" s="348" t="inlineStr">
        <is>
          <t>Comparative Negligence</t>
        </is>
      </c>
      <c r="C104" s="348" t="inlineStr">
        <is>
          <t>La. Civ. Code art. 2323</t>
        </is>
      </c>
      <c r="D104" s="348" t="inlineStr">
        <is>
          <t>https://legis.la.gov/legis/Law.aspx?d=109388</t>
        </is>
      </c>
      <c r="E104" s="348" t="inlineStr">
        <is>
          <t>Official / government source</t>
        </is>
      </c>
      <c r="F104" s="348" t="inlineStr">
        <is>
          <t>Low</t>
        </is>
      </c>
    </row>
    <row r="105">
      <c r="A105" s="348" t="inlineStr">
        <is>
          <t>Louisiana</t>
        </is>
      </c>
      <c r="B105" s="348" t="inlineStr">
        <is>
          <t>PIP / No-Fault</t>
        </is>
      </c>
      <c r="C105" s="348" t="inlineStr">
        <is>
          <t>La. R.S. § 32:861</t>
        </is>
      </c>
      <c r="D105" s="348" t="inlineStr">
        <is>
          <t>https://legis.la.gov/legis/Law.aspx?d=88211</t>
        </is>
      </c>
      <c r="E105" s="348" t="inlineStr">
        <is>
          <t>Official / government source</t>
        </is>
      </c>
      <c r="F105" s="348" t="inlineStr">
        <is>
          <t>Low</t>
        </is>
      </c>
    </row>
    <row r="106">
      <c r="A106" s="348" t="inlineStr">
        <is>
          <t>Louisiana</t>
        </is>
      </c>
      <c r="B106" s="348" t="inlineStr">
        <is>
          <t>Policy Disclosure</t>
        </is>
      </c>
      <c r="C106" s="348" t="inlineStr">
        <is>
          <t>La. C.C.P. art. 1423</t>
        </is>
      </c>
      <c r="D106" s="348" t="inlineStr">
        <is>
          <t>https://www.legis.la.gov/legis/Laws_Toc.aspx?folder=68&amp;level=Parent</t>
        </is>
      </c>
      <c r="E106" s="348" t="inlineStr">
        <is>
          <t>Official / government source</t>
        </is>
      </c>
      <c r="F106" s="348" t="inlineStr">
        <is>
          <t>Low</t>
        </is>
      </c>
    </row>
    <row r="107">
      <c r="A107" s="348" t="inlineStr">
        <is>
          <t>Louisiana</t>
        </is>
      </c>
      <c r="B107" s="348" t="inlineStr">
        <is>
          <t>UM/UIM Rules</t>
        </is>
      </c>
      <c r="C107" s="348" t="inlineStr">
        <is>
          <t>La. R.S. § 22:1295</t>
        </is>
      </c>
      <c r="D107" s="348" t="inlineStr">
        <is>
          <t>https://legis.la.gov/legis/Law.aspx?d=508161</t>
        </is>
      </c>
      <c r="E107" s="348" t="inlineStr">
        <is>
          <t>Official / government source</t>
        </is>
      </c>
      <c r="F107" s="348" t="inlineStr">
        <is>
          <t>Low</t>
        </is>
      </c>
    </row>
    <row r="108">
      <c r="A108" s="348" t="inlineStr">
        <is>
          <t>Maine</t>
        </is>
      </c>
      <c r="B108" s="348" t="inlineStr">
        <is>
          <t>Bad Faith</t>
        </is>
      </c>
      <c r="C108" s="348" t="inlineStr">
        <is>
          <t>Marquis v. Farm Family Mutual; 24-A M.R.S. § 2436-A</t>
        </is>
      </c>
      <c r="D108" s="348" t="inlineStr">
        <is>
          <t>https://law.justia.com/cases/maine/supreme-court/1993/628-a-2d-644-0.html</t>
        </is>
      </c>
      <c r="E108" s="348" t="inlineStr">
        <is>
          <t>Non-government / secondary source</t>
        </is>
      </c>
      <c r="F108" s="348" t="inlineStr">
        <is>
          <t>Medium</t>
        </is>
      </c>
    </row>
    <row r="109">
      <c r="A109" s="348" t="inlineStr">
        <is>
          <t>Maine</t>
        </is>
      </c>
      <c r="B109" s="348" t="inlineStr">
        <is>
          <t>Claims Deadlines</t>
        </is>
      </c>
      <c r="C109" s="348" t="inlineStr">
        <is>
          <t>24-A M.R.S. §§ 2436, 3002, 2513</t>
        </is>
      </c>
      <c r="D109" s="348" t="inlineStr">
        <is>
          <t>https://legislature.maine.gov/statutes/24-A/title24-Asec2436.html</t>
        </is>
      </c>
      <c r="E109" s="348" t="inlineStr">
        <is>
          <t>Official / government source</t>
        </is>
      </c>
      <c r="F109" s="348" t="inlineStr">
        <is>
          <t>Low</t>
        </is>
      </c>
    </row>
    <row r="110">
      <c r="A110" s="348" t="inlineStr">
        <is>
          <t>Maine</t>
        </is>
      </c>
      <c r="B110" s="348" t="inlineStr">
        <is>
          <t>Comparative Negligence</t>
        </is>
      </c>
      <c r="C110" s="348" t="inlineStr">
        <is>
          <t>14 M.R.S. § 156</t>
        </is>
      </c>
      <c r="D110" s="348" t="inlineStr">
        <is>
          <t>https://legislature.maine.gov/statutes/14/title14sec156.html</t>
        </is>
      </c>
      <c r="E110" s="348" t="inlineStr">
        <is>
          <t>Official / government source</t>
        </is>
      </c>
      <c r="F110" s="348" t="inlineStr">
        <is>
          <t>Low</t>
        </is>
      </c>
    </row>
    <row r="111">
      <c r="A111" s="348" t="inlineStr">
        <is>
          <t>Maine</t>
        </is>
      </c>
      <c r="B111" s="348" t="inlineStr">
        <is>
          <t>PIP / No-Fault</t>
        </is>
      </c>
      <c r="C111" s="348" t="inlineStr">
        <is>
          <t>29-A M.R.S. §§ 1605; 1605-A</t>
        </is>
      </c>
      <c r="D111" s="348" t="inlineStr">
        <is>
          <t>https://legislature.maine.gov/statutes/29-A/title29-Asec1605-A.html</t>
        </is>
      </c>
      <c r="E111" s="348" t="inlineStr">
        <is>
          <t>Official / government source</t>
        </is>
      </c>
      <c r="F111" s="348" t="inlineStr">
        <is>
          <t>Low</t>
        </is>
      </c>
    </row>
    <row r="112">
      <c r="A112" s="348" t="inlineStr">
        <is>
          <t>Maine</t>
        </is>
      </c>
      <c r="B112" s="348" t="inlineStr">
        <is>
          <t>Policy Disclosure</t>
        </is>
      </c>
      <c r="C112" s="348" t="inlineStr">
        <is>
          <t>24-A M.R.S. § 2164-E</t>
        </is>
      </c>
      <c r="D112" s="348" t="inlineStr">
        <is>
          <t>https://legislature.maine.gov/statutes/24-a/title24-Asec2164-E.html</t>
        </is>
      </c>
      <c r="E112" s="348" t="inlineStr">
        <is>
          <t>Official / government source</t>
        </is>
      </c>
      <c r="F112" s="348" t="inlineStr">
        <is>
          <t>Low</t>
        </is>
      </c>
    </row>
    <row r="113">
      <c r="A113" s="348" t="inlineStr">
        <is>
          <t>Maine</t>
        </is>
      </c>
      <c r="B113" s="348" t="inlineStr">
        <is>
          <t>UM/UIM Rules</t>
        </is>
      </c>
      <c r="C113" s="348" t="inlineStr">
        <is>
          <t>24-A M.R.S. § 2902</t>
        </is>
      </c>
      <c r="D113" s="348" t="inlineStr">
        <is>
          <t>https://legislature.maine.gov/statutes/24-a/title24-Asec2902.html</t>
        </is>
      </c>
      <c r="E113" s="348" t="inlineStr">
        <is>
          <t>Official / government source</t>
        </is>
      </c>
      <c r="F113" s="348" t="inlineStr">
        <is>
          <t>Low</t>
        </is>
      </c>
    </row>
    <row r="114">
      <c r="A114" s="348" t="inlineStr">
        <is>
          <t>Maryland</t>
        </is>
      </c>
      <c r="B114" s="348" t="inlineStr">
        <is>
          <t>Bad Faith</t>
        </is>
      </c>
      <c r="C114" s="348" t="inlineStr">
        <is>
          <t>Md. Code Ins. § 27-1001</t>
        </is>
      </c>
      <c r="D114" s="348" t="inlineStr">
        <is>
          <t>https://mgaleg.maryland.gov</t>
        </is>
      </c>
      <c r="E114" s="348" t="inlineStr">
        <is>
          <t>Official / government source</t>
        </is>
      </c>
      <c r="F114" s="348" t="inlineStr">
        <is>
          <t>Low</t>
        </is>
      </c>
    </row>
    <row r="115">
      <c r="A115" s="348" t="inlineStr">
        <is>
          <t>Maryland</t>
        </is>
      </c>
      <c r="B115" s="348" t="inlineStr">
        <is>
          <t>Claims Deadlines</t>
        </is>
      </c>
      <c r="C115" s="348" t="inlineStr">
        <is>
          <t>COMAR 31.15.07.03; COMAR 31.15.08.03; Md. Code Ins. § 19-508</t>
        </is>
      </c>
      <c r="D115" s="348" t="inlineStr">
        <is>
          <t>https://dsd.maryland.gov/regulations/Pages/31.15.07.03.aspx</t>
        </is>
      </c>
      <c r="E115" s="348" t="inlineStr">
        <is>
          <t>Official / government source</t>
        </is>
      </c>
      <c r="F115" s="348" t="inlineStr">
        <is>
          <t>Low</t>
        </is>
      </c>
    </row>
    <row r="116">
      <c r="A116" s="348" t="inlineStr">
        <is>
          <t>Maryland</t>
        </is>
      </c>
      <c r="B116" s="348" t="inlineStr">
        <is>
          <t>Comparative Negligence</t>
        </is>
      </c>
      <c r="C116" s="348" t="inlineStr">
        <is>
          <t>Coleman v. Soccer Ass'n of Columbia, 432 Md. 679 (2013)</t>
        </is>
      </c>
      <c r="D116" s="348" t="inlineStr">
        <is>
          <t>https://mdcourts.gov/data/opinions/coa/2013/9a12.pdf</t>
        </is>
      </c>
      <c r="E116" s="348" t="inlineStr">
        <is>
          <t>Official / government source</t>
        </is>
      </c>
      <c r="F116" s="348" t="inlineStr">
        <is>
          <t>Low</t>
        </is>
      </c>
    </row>
    <row r="117">
      <c r="A117" s="348" t="inlineStr">
        <is>
          <t>Maryland</t>
        </is>
      </c>
      <c r="B117" s="348" t="inlineStr">
        <is>
          <t>PIP / No-Fault</t>
        </is>
      </c>
      <c r="C117" s="348" t="inlineStr">
        <is>
          <t>Md. Code Ann., Ins. §§ 19-505; 19-506</t>
        </is>
      </c>
      <c r="D117" s="348" t="inlineStr">
        <is>
          <t>https://mgaleg.maryland.gov/mgawebsite/Laws/StatuteText?article=gin&amp;section=19-505</t>
        </is>
      </c>
      <c r="E117" s="348" t="inlineStr">
        <is>
          <t>Official / government source</t>
        </is>
      </c>
      <c r="F117" s="348" t="inlineStr">
        <is>
          <t>Low</t>
        </is>
      </c>
    </row>
    <row r="118">
      <c r="A118" s="348" t="inlineStr">
        <is>
          <t>Maryland</t>
        </is>
      </c>
      <c r="B118" s="348" t="inlineStr">
        <is>
          <t>Policy Disclosure</t>
        </is>
      </c>
      <c r="C118" s="348" t="inlineStr">
        <is>
          <t>Md. Code Ann., Cts. &amp; Jud. Proc. §§ 10-1101 to 10-1104</t>
        </is>
      </c>
      <c r="D118" s="348" t="inlineStr">
        <is>
          <t>https://mgaleg.maryland.gov/mgawebsite/Laws/StatuteText?article=gcj&amp;section=10-1103</t>
        </is>
      </c>
      <c r="E118" s="348" t="inlineStr">
        <is>
          <t>Official / government source</t>
        </is>
      </c>
      <c r="F118" s="348" t="inlineStr">
        <is>
          <t>Low</t>
        </is>
      </c>
    </row>
    <row r="119">
      <c r="A119" s="348" t="inlineStr">
        <is>
          <t>Maryland</t>
        </is>
      </c>
      <c r="B119" s="348" t="inlineStr">
        <is>
          <t>UM/UIM Rules</t>
        </is>
      </c>
      <c r="C119" s="348" t="inlineStr">
        <is>
          <t>Md. Code, Ins. §§ 19-509, 19-510</t>
        </is>
      </c>
      <c r="D119" s="348" t="inlineStr">
        <is>
          <t>https://mgaleg.maryland.gov/mgawebsite/Laws/StatuteText?article=gin&amp;section=19-509</t>
        </is>
      </c>
      <c r="E119" s="348" t="inlineStr">
        <is>
          <t>Official / government source</t>
        </is>
      </c>
      <c r="F119" s="348" t="inlineStr">
        <is>
          <t>Low</t>
        </is>
      </c>
    </row>
    <row r="120">
      <c r="A120" s="348" t="inlineStr">
        <is>
          <t>Massachusetts</t>
        </is>
      </c>
      <c r="B120" s="348" t="inlineStr">
        <is>
          <t>Bad Faith</t>
        </is>
      </c>
      <c r="C120" s="348" t="inlineStr">
        <is>
          <t>Mass. Gen. Laws ch. 93A; ch. 176D</t>
        </is>
      </c>
      <c r="D120" s="348" t="inlineStr">
        <is>
          <t>https://malegislature.gov</t>
        </is>
      </c>
      <c r="E120" s="348" t="inlineStr">
        <is>
          <t>Official / government source</t>
        </is>
      </c>
      <c r="F120" s="348" t="inlineStr">
        <is>
          <t>Low</t>
        </is>
      </c>
    </row>
    <row r="121">
      <c r="A121" s="348" t="inlineStr">
        <is>
          <t>Massachusetts</t>
        </is>
      </c>
      <c r="B121" s="348" t="inlineStr">
        <is>
          <t>Claims Deadlines</t>
        </is>
      </c>
      <c r="C121" s="348" t="inlineStr">
        <is>
          <t>Mass. Gen. Laws ch. 176D, § 3(9); ch. 175, § 119C</t>
        </is>
      </c>
      <c r="D121" s="348" t="inlineStr">
        <is>
          <t>https://malegislature.gov/Laws/GeneralLaws/PartI/TitleXXII/Chapter176D/Section3</t>
        </is>
      </c>
      <c r="E121" s="348" t="inlineStr">
        <is>
          <t>Official / government source</t>
        </is>
      </c>
      <c r="F121" s="348" t="inlineStr">
        <is>
          <t>Low</t>
        </is>
      </c>
    </row>
    <row r="122">
      <c r="A122" s="348" t="inlineStr">
        <is>
          <t>Massachusetts</t>
        </is>
      </c>
      <c r="B122" s="348" t="inlineStr">
        <is>
          <t>Comparative Negligence</t>
        </is>
      </c>
      <c r="C122" s="348" t="inlineStr">
        <is>
          <t>Mass. Gen. Laws ch. 231, § 85</t>
        </is>
      </c>
      <c r="D122" s="348" t="inlineStr">
        <is>
          <t>https://malegislature.gov/Laws/GeneralLaws/PartIII/TitleII/Chapter231/Section85</t>
        </is>
      </c>
      <c r="E122" s="348" t="inlineStr">
        <is>
          <t>Official / government source</t>
        </is>
      </c>
      <c r="F122" s="348" t="inlineStr">
        <is>
          <t>Low</t>
        </is>
      </c>
    </row>
    <row r="123">
      <c r="A123" s="348" t="inlineStr">
        <is>
          <t>Massachusetts</t>
        </is>
      </c>
      <c r="B123" s="348" t="inlineStr">
        <is>
          <t>PIP / No-Fault</t>
        </is>
      </c>
      <c r="C123" s="348" t="inlineStr">
        <is>
          <t>Mass. Gen. Laws ch. 90 § 34A; ch. 231 § 6D</t>
        </is>
      </c>
      <c r="D123" s="348" t="inlineStr">
        <is>
          <t>https://malegislature.gov/Laws/GeneralLaws/PartIII/TitleII/Chapter231/Section6d</t>
        </is>
      </c>
      <c r="E123" s="348" t="inlineStr">
        <is>
          <t>Official / government source</t>
        </is>
      </c>
      <c r="F123" s="348" t="inlineStr">
        <is>
          <t>Low</t>
        </is>
      </c>
    </row>
    <row r="124">
      <c r="A124" s="348" t="inlineStr">
        <is>
          <t>Massachusetts</t>
        </is>
      </c>
      <c r="B124" s="348" t="inlineStr">
        <is>
          <t>Policy Disclosure</t>
        </is>
      </c>
      <c r="C124" s="348" t="inlineStr">
        <is>
          <t>Mass. Gen. Laws ch. 175, § 112C</t>
        </is>
      </c>
      <c r="D124" s="348" t="inlineStr">
        <is>
          <t>https://malegislature.gov/Laws/GeneralLaws/PartI/TitleXXII/Chapter175/Section112c</t>
        </is>
      </c>
      <c r="E124" s="348" t="inlineStr">
        <is>
          <t>Official / government source</t>
        </is>
      </c>
      <c r="F124" s="348" t="inlineStr">
        <is>
          <t>Low</t>
        </is>
      </c>
    </row>
    <row r="125">
      <c r="A125" s="348" t="inlineStr">
        <is>
          <t>Massachusetts</t>
        </is>
      </c>
      <c r="B125" s="348" t="inlineStr">
        <is>
          <t>UM/UIM Rules</t>
        </is>
      </c>
      <c r="C125" s="348" t="inlineStr">
        <is>
          <t>Mass. Gen. Laws ch. 175, § 113L</t>
        </is>
      </c>
      <c r="D125" s="348" t="inlineStr">
        <is>
          <t>https://malegislature.gov/Laws/GeneralLaws/PartI/TitleXXII/Chapter175/Section113L</t>
        </is>
      </c>
      <c r="E125" s="348" t="inlineStr">
        <is>
          <t>Official / government source</t>
        </is>
      </c>
      <c r="F125" s="348" t="inlineStr">
        <is>
          <t>Low</t>
        </is>
      </c>
    </row>
    <row r="126">
      <c r="A126" s="348" t="inlineStr">
        <is>
          <t>Michigan</t>
        </is>
      </c>
      <c r="B126" s="348" t="inlineStr">
        <is>
          <t>Bad Faith</t>
        </is>
      </c>
      <c r="C126" s="348" t="inlineStr">
        <is>
          <t>MCL § 500.2006; Kewin v. Massachusetts Mutual Life Ins. Co.</t>
        </is>
      </c>
      <c r="D126" s="348" t="inlineStr">
        <is>
          <t>https://www.legislature.mi.gov/Laws/MCL?objectName=mcl-500-2006</t>
        </is>
      </c>
      <c r="E126" s="348" t="inlineStr">
        <is>
          <t>Official / government source</t>
        </is>
      </c>
      <c r="F126" s="348" t="inlineStr">
        <is>
          <t>Low</t>
        </is>
      </c>
    </row>
    <row r="127">
      <c r="A127" s="348" t="inlineStr">
        <is>
          <t>Michigan</t>
        </is>
      </c>
      <c r="B127" s="348" t="inlineStr">
        <is>
          <t>Claims Deadlines</t>
        </is>
      </c>
      <c r="C127" s="348" t="inlineStr">
        <is>
          <t>Mich. Comp. Laws § 500.2006</t>
        </is>
      </c>
      <c r="D127" s="348" t="inlineStr">
        <is>
          <t>https://www.legislature.mi.gov/Laws/MCL?objectName=mcl-500-2006</t>
        </is>
      </c>
      <c r="E127" s="348" t="inlineStr">
        <is>
          <t>Official / government source</t>
        </is>
      </c>
      <c r="F127" s="348" t="inlineStr">
        <is>
          <t>Low</t>
        </is>
      </c>
    </row>
    <row r="128">
      <c r="A128" s="348" t="inlineStr">
        <is>
          <t>Michigan</t>
        </is>
      </c>
      <c r="B128" s="348" t="inlineStr">
        <is>
          <t>Comparative Negligence</t>
        </is>
      </c>
      <c r="C128" s="348" t="inlineStr">
        <is>
          <t>MCL § 600.2959</t>
        </is>
      </c>
      <c r="D128" s="348" t="inlineStr">
        <is>
          <t>https://www.legislature.mi.gov/Laws/MCL?objectName=mcl-600-2959</t>
        </is>
      </c>
      <c r="E128" s="348" t="inlineStr">
        <is>
          <t>Official / government source</t>
        </is>
      </c>
      <c r="F128" s="348" t="inlineStr">
        <is>
          <t>Low</t>
        </is>
      </c>
    </row>
    <row r="129">
      <c r="A129" s="348" t="inlineStr">
        <is>
          <t>Michigan</t>
        </is>
      </c>
      <c r="B129" s="348" t="inlineStr">
        <is>
          <t>PIP / No-Fault</t>
        </is>
      </c>
      <c r="C129" s="348" t="inlineStr">
        <is>
          <t>MCL §§ 500.3101; 500.3107c; 500.3135</t>
        </is>
      </c>
      <c r="D129" s="348" t="inlineStr">
        <is>
          <t>https://www.legislature.mi.gov/Laws/MCL?objectName=mcl-500-3107c</t>
        </is>
      </c>
      <c r="E129" s="348" t="inlineStr">
        <is>
          <t>Official / government source</t>
        </is>
      </c>
      <c r="F129" s="348" t="inlineStr">
        <is>
          <t>Low</t>
        </is>
      </c>
    </row>
    <row r="130">
      <c r="A130" s="348" t="inlineStr">
        <is>
          <t>Michigan</t>
        </is>
      </c>
      <c r="B130" s="348" t="inlineStr">
        <is>
          <t>Policy Disclosure</t>
        </is>
      </c>
      <c r="C130" s="348" t="inlineStr">
        <is>
          <t>MCR 2.302</t>
        </is>
      </c>
      <c r="D130" s="348" t="inlineStr">
        <is>
          <t>https://www.courts.michigan.gov/siteassets/rules-instructions-administrative-orders/michigan-court-rules/court-rules-book-ch-2-responsive-html5.zip/index.html</t>
        </is>
      </c>
      <c r="E130" s="348" t="inlineStr">
        <is>
          <t>Official / government source</t>
        </is>
      </c>
      <c r="F130" s="348" t="inlineStr">
        <is>
          <t>Low</t>
        </is>
      </c>
    </row>
    <row r="131">
      <c r="A131" s="348" t="inlineStr">
        <is>
          <t>Michigan</t>
        </is>
      </c>
      <c r="B131" s="348" t="inlineStr">
        <is>
          <t>UM/UIM Rules</t>
        </is>
      </c>
      <c r="C131" s="348" t="inlineStr">
        <is>
          <t>Michigan DIFS Auto Insurance Guide</t>
        </is>
      </c>
      <c r="D131" s="348" t="inlineStr">
        <is>
          <t>https://www.michigan.gov/difs/consumers/insurance/auto-insurance</t>
        </is>
      </c>
      <c r="E131" s="348" t="inlineStr">
        <is>
          <t>Official / government source</t>
        </is>
      </c>
      <c r="F131" s="348" t="inlineStr">
        <is>
          <t>Low</t>
        </is>
      </c>
    </row>
    <row r="132">
      <c r="A132" s="348" t="inlineStr">
        <is>
          <t>Minnesota</t>
        </is>
      </c>
      <c r="B132" s="348" t="inlineStr">
        <is>
          <t>Bad Faith</t>
        </is>
      </c>
      <c r="C132" s="348" t="inlineStr">
        <is>
          <t>Minn. Stat. § 604.18</t>
        </is>
      </c>
      <c r="D132" s="348" t="inlineStr">
        <is>
          <t>https://www.revisor.mn.gov/statutes/cite/604.18</t>
        </is>
      </c>
      <c r="E132" s="348" t="inlineStr">
        <is>
          <t>Official / government source</t>
        </is>
      </c>
      <c r="F132" s="348" t="inlineStr">
        <is>
          <t>Low</t>
        </is>
      </c>
    </row>
    <row r="133">
      <c r="A133" s="348" t="inlineStr">
        <is>
          <t>Minnesota</t>
        </is>
      </c>
      <c r="B133" s="348" t="inlineStr">
        <is>
          <t>Claims Deadlines</t>
        </is>
      </c>
      <c r="C133" s="348" t="inlineStr">
        <is>
          <t>Minn. Stat. § 72A.201, subd. 4; § 62Q.75</t>
        </is>
      </c>
      <c r="D133" s="348" t="inlineStr">
        <is>
          <t>https://www.revisor.mn.gov/statutes/cite/72A.201</t>
        </is>
      </c>
      <c r="E133" s="348" t="inlineStr">
        <is>
          <t>Official / government source</t>
        </is>
      </c>
      <c r="F133" s="348" t="inlineStr">
        <is>
          <t>Low</t>
        </is>
      </c>
    </row>
    <row r="134">
      <c r="A134" s="348" t="inlineStr">
        <is>
          <t>Minnesota</t>
        </is>
      </c>
      <c r="B134" s="348" t="inlineStr">
        <is>
          <t>Comparative Negligence</t>
        </is>
      </c>
      <c r="C134" s="348" t="inlineStr">
        <is>
          <t>Minn. Stat. § 604.01</t>
        </is>
      </c>
      <c r="D134" s="348" t="inlineStr">
        <is>
          <t>https://www.revisor.mn.gov/statutes/cite/604.01</t>
        </is>
      </c>
      <c r="E134" s="348" t="inlineStr">
        <is>
          <t>Official / government source</t>
        </is>
      </c>
      <c r="F134" s="348" t="inlineStr">
        <is>
          <t>Low</t>
        </is>
      </c>
    </row>
    <row r="135">
      <c r="A135" s="348" t="inlineStr">
        <is>
          <t>Minnesota</t>
        </is>
      </c>
      <c r="B135" s="348" t="inlineStr">
        <is>
          <t>PIP / No-Fault</t>
        </is>
      </c>
      <c r="C135" s="348" t="inlineStr">
        <is>
          <t>Minn. Stat. §§ 65B.44; 65B.51</t>
        </is>
      </c>
      <c r="D135" s="348" t="inlineStr">
        <is>
          <t>https://www.revisor.mn.gov/statutes/cite/65B.44</t>
        </is>
      </c>
      <c r="E135" s="348" t="inlineStr">
        <is>
          <t>Official / government source</t>
        </is>
      </c>
      <c r="F135" s="348" t="inlineStr">
        <is>
          <t>Low</t>
        </is>
      </c>
    </row>
    <row r="136">
      <c r="A136" s="348" t="inlineStr">
        <is>
          <t>Minnesota</t>
        </is>
      </c>
      <c r="B136" s="348" t="inlineStr">
        <is>
          <t>Policy Disclosure</t>
        </is>
      </c>
      <c r="C136" s="348" t="inlineStr">
        <is>
          <t>Minn. Stat. § 72A.201 Subd. 11</t>
        </is>
      </c>
      <c r="D136" s="348" t="inlineStr">
        <is>
          <t>https://www.revisor.mn.gov/statutes/cite/72A.201</t>
        </is>
      </c>
      <c r="E136" s="348" t="inlineStr">
        <is>
          <t>Official / government source</t>
        </is>
      </c>
      <c r="F136" s="348" t="inlineStr">
        <is>
          <t>Low</t>
        </is>
      </c>
    </row>
    <row r="137">
      <c r="A137" s="348" t="inlineStr">
        <is>
          <t>Minnesota</t>
        </is>
      </c>
      <c r="B137" s="348" t="inlineStr">
        <is>
          <t>UM/UIM Rules</t>
        </is>
      </c>
      <c r="C137" s="348" t="inlineStr">
        <is>
          <t>Minn. Stat. § 65B.49, subd. 3a</t>
        </is>
      </c>
      <c r="D137" s="348" t="inlineStr">
        <is>
          <t>https://www.revisor.mn.gov/statutes/cite/65B.49</t>
        </is>
      </c>
      <c r="E137" s="348" t="inlineStr">
        <is>
          <t>Official / government source</t>
        </is>
      </c>
      <c r="F137" s="348" t="inlineStr">
        <is>
          <t>Low</t>
        </is>
      </c>
    </row>
    <row r="138">
      <c r="A138" s="348" t="inlineStr">
        <is>
          <t>Mississippi</t>
        </is>
      </c>
      <c r="B138" s="348" t="inlineStr">
        <is>
          <t>Bad Faith</t>
        </is>
      </c>
      <c r="C138" s="348" t="inlineStr">
        <is>
          <t>State Farm Mut. Auto. Ins. Co. v. Grimes</t>
        </is>
      </c>
      <c r="D138" s="348" t="inlineStr">
        <is>
          <t>https://law.justia.com</t>
        </is>
      </c>
      <c r="E138" s="348" t="inlineStr">
        <is>
          <t>Non-government / secondary source</t>
        </is>
      </c>
      <c r="F138" s="348" t="inlineStr">
        <is>
          <t>Medium</t>
        </is>
      </c>
    </row>
    <row r="139">
      <c r="A139" s="348" t="inlineStr">
        <is>
          <t>Mississippi</t>
        </is>
      </c>
      <c r="B139" s="348" t="inlineStr">
        <is>
          <t>Claims Deadlines</t>
        </is>
      </c>
      <c r="C139" s="348" t="inlineStr">
        <is>
          <t>Miss. Code Ann. § 83-9-5; MID Accident and Health Submission Requirements</t>
        </is>
      </c>
      <c r="D139" s="348" t="inlineStr">
        <is>
          <t>https://www.mid.ms.gov/wp-content/uploads/2023/04/accidentandhealthsubmissionrequirements.pdf</t>
        </is>
      </c>
      <c r="E139" s="348" t="inlineStr">
        <is>
          <t>Official / government source</t>
        </is>
      </c>
      <c r="F139" s="348" t="inlineStr">
        <is>
          <t>Low</t>
        </is>
      </c>
    </row>
    <row r="140">
      <c r="A140" s="348" t="inlineStr">
        <is>
          <t>Mississippi</t>
        </is>
      </c>
      <c r="B140" s="348" t="inlineStr">
        <is>
          <t>Comparative Negligence</t>
        </is>
      </c>
      <c r="C140" s="348" t="inlineStr">
        <is>
          <t>Miss. Code Ann. § 11-7-15</t>
        </is>
      </c>
      <c r="D140" s="348" t="inlineStr">
        <is>
          <t>https://advance.lexis.com/container?config=014EJAA3OTNkYzRlOS01MDcxLTRhOGItYWJkOS1iZGUyNjA5Y2M4Y2EKAFBvZENhdGFsb2fkY4Wkiqo6YsflNRhmQCcw&amp;crid=f6ce0682-d686-461e-8f20-3de90f71507a</t>
        </is>
      </c>
      <c r="E140" s="348" t="inlineStr">
        <is>
          <t>Verify source type</t>
        </is>
      </c>
      <c r="F140" s="348" t="inlineStr">
        <is>
          <t>Medium</t>
        </is>
      </c>
    </row>
    <row r="141">
      <c r="A141" s="348" t="inlineStr">
        <is>
          <t>Mississippi</t>
        </is>
      </c>
      <c r="B141" s="348" t="inlineStr">
        <is>
          <t>PIP / No-Fault</t>
        </is>
      </c>
      <c r="C141" s="348" t="inlineStr">
        <is>
          <t>Miss. Code Ann. § 63-15-3</t>
        </is>
      </c>
      <c r="D141" s="348" t="inlineStr">
        <is>
          <t>https://www.mid.ms.gov/mississippi-insurance-department/consumers/auto-insurance/</t>
        </is>
      </c>
      <c r="E141" s="348" t="inlineStr">
        <is>
          <t>Official / government source</t>
        </is>
      </c>
      <c r="F141" s="348" t="inlineStr">
        <is>
          <t>Low</t>
        </is>
      </c>
    </row>
    <row r="142">
      <c r="A142" s="348" t="inlineStr">
        <is>
          <t>Mississippi</t>
        </is>
      </c>
      <c r="B142" s="348" t="inlineStr">
        <is>
          <t>Policy Disclosure</t>
        </is>
      </c>
      <c r="C142" s="348" t="inlineStr">
        <is>
          <t>Miss. R. Civ. P. 26(b)(2)</t>
        </is>
      </c>
      <c r="D142" s="348" t="inlineStr">
        <is>
          <t>https://courts.ms.gov/research/rules/msrulesofcourt/Rules_of_Civil_Procedure.pdf</t>
        </is>
      </c>
      <c r="E142" s="348" t="inlineStr">
        <is>
          <t>Official / government source</t>
        </is>
      </c>
      <c r="F142" s="348" t="inlineStr">
        <is>
          <t>Low</t>
        </is>
      </c>
    </row>
    <row r="143">
      <c r="A143" s="348" t="inlineStr">
        <is>
          <t>Mississippi</t>
        </is>
      </c>
      <c r="B143" s="348" t="inlineStr">
        <is>
          <t>UM/UIM Rules</t>
        </is>
      </c>
      <c r="C143" s="348" t="inlineStr">
        <is>
          <t>Miss. Code Ann. § 83-11-101</t>
        </is>
      </c>
      <c r="D143" s="348" t="inlineStr">
        <is>
          <t>https://law.justia.com/codes/mississippi/title-83/chapter-11/article-3/section-83-11-101/</t>
        </is>
      </c>
      <c r="E143" s="348" t="inlineStr">
        <is>
          <t>Non-government / secondary source</t>
        </is>
      </c>
      <c r="F143" s="348" t="inlineStr">
        <is>
          <t>Medium</t>
        </is>
      </c>
    </row>
    <row r="144">
      <c r="A144" s="348" t="inlineStr">
        <is>
          <t>Missouri</t>
        </is>
      </c>
      <c r="B144" s="348" t="inlineStr">
        <is>
          <t>Bad Faith</t>
        </is>
      </c>
      <c r="C144" s="348" t="inlineStr">
        <is>
          <t>Mo. Rev. Stat. § 375.296</t>
        </is>
      </c>
      <c r="D144" s="348" t="inlineStr">
        <is>
          <t>https://revisor.mo.gov</t>
        </is>
      </c>
      <c r="E144" s="348" t="inlineStr">
        <is>
          <t>Official / government source</t>
        </is>
      </c>
      <c r="F144" s="348" t="inlineStr">
        <is>
          <t>Low</t>
        </is>
      </c>
    </row>
    <row r="145">
      <c r="A145" s="348" t="inlineStr">
        <is>
          <t>Missouri</t>
        </is>
      </c>
      <c r="B145" s="348" t="inlineStr">
        <is>
          <t>Claims Deadlines</t>
        </is>
      </c>
      <c r="C145" s="348" t="inlineStr">
        <is>
          <t>20 CSR 100-1.010 to 100-1.050</t>
        </is>
      </c>
      <c r="D145" s="348" t="inlineStr">
        <is>
          <t>https://www.sos.mo.gov/cmsimages/adrules/csr/current/20csr/20c100-1.pdf</t>
        </is>
      </c>
      <c r="E145" s="348" t="inlineStr">
        <is>
          <t>Official / government source</t>
        </is>
      </c>
      <c r="F145" s="348" t="inlineStr">
        <is>
          <t>Low</t>
        </is>
      </c>
    </row>
    <row r="146">
      <c r="A146" s="348" t="inlineStr">
        <is>
          <t>Missouri</t>
        </is>
      </c>
      <c r="B146" s="348" t="inlineStr">
        <is>
          <t>Comparative Negligence</t>
        </is>
      </c>
      <c r="C146" s="348" t="inlineStr">
        <is>
          <t>Gustafson v. Benda, 661 S.W.2d 11 (Mo. 1983)</t>
        </is>
      </c>
      <c r="D146" s="348" t="inlineStr">
        <is>
          <t>https://law.justia.com/cases/missouri/supreme-court/1983/64460-0.html</t>
        </is>
      </c>
      <c r="E146" s="348" t="inlineStr">
        <is>
          <t>Non-government / secondary source</t>
        </is>
      </c>
      <c r="F146" s="348" t="inlineStr">
        <is>
          <t>Medium</t>
        </is>
      </c>
    </row>
    <row r="147">
      <c r="A147" s="348" t="inlineStr">
        <is>
          <t>Missouri</t>
        </is>
      </c>
      <c r="B147" s="348" t="inlineStr">
        <is>
          <t>PIP / No-Fault</t>
        </is>
      </c>
      <c r="C147" s="348" t="inlineStr">
        <is>
          <t>Mo. Rev. Stat. § 303.025</t>
        </is>
      </c>
      <c r="D147" s="348" t="inlineStr">
        <is>
          <t>https://revisor.mo.gov/main/OneSection.aspx?section=303.025</t>
        </is>
      </c>
      <c r="E147" s="348" t="inlineStr">
        <is>
          <t>Official / government source</t>
        </is>
      </c>
      <c r="F147" s="348" t="inlineStr">
        <is>
          <t>Low</t>
        </is>
      </c>
    </row>
    <row r="148">
      <c r="A148" s="348" t="inlineStr">
        <is>
          <t>Missouri</t>
        </is>
      </c>
      <c r="B148" s="348" t="inlineStr">
        <is>
          <t>Policy Disclosure</t>
        </is>
      </c>
      <c r="C148" s="348" t="inlineStr">
        <is>
          <t>Mo. Rev. Stat. § 537.058</t>
        </is>
      </c>
      <c r="D148" s="348" t="inlineStr">
        <is>
          <t>https://revisor.mo.gov/main/OneSection.aspx?section=537.058</t>
        </is>
      </c>
      <c r="E148" s="348" t="inlineStr">
        <is>
          <t>Official / government source</t>
        </is>
      </c>
      <c r="F148" s="348" t="inlineStr">
        <is>
          <t>Low</t>
        </is>
      </c>
    </row>
    <row r="149">
      <c r="A149" s="348" t="inlineStr">
        <is>
          <t>Missouri</t>
        </is>
      </c>
      <c r="B149" s="348" t="inlineStr">
        <is>
          <t>UM/UIM Rules</t>
        </is>
      </c>
      <c r="C149" s="348" t="inlineStr">
        <is>
          <t>RSMo § 379.203</t>
        </is>
      </c>
      <c r="D149" s="348" t="inlineStr">
        <is>
          <t>https://revisor.mo.gov/main/OneSection.aspx?section=379.203</t>
        </is>
      </c>
      <c r="E149" s="348" t="inlineStr">
        <is>
          <t>Official / government source</t>
        </is>
      </c>
      <c r="F149" s="348" t="inlineStr">
        <is>
          <t>Low</t>
        </is>
      </c>
    </row>
    <row r="150">
      <c r="A150" s="348" t="inlineStr">
        <is>
          <t>Montana</t>
        </is>
      </c>
      <c r="B150" s="348" t="inlineStr">
        <is>
          <t>Bad Faith</t>
        </is>
      </c>
      <c r="C150" s="348" t="inlineStr">
        <is>
          <t>Mont. Code Ann. § 33-18-242</t>
        </is>
      </c>
      <c r="D150" s="348" t="inlineStr">
        <is>
          <t>https://leg.mt.gov</t>
        </is>
      </c>
      <c r="E150" s="348" t="inlineStr">
        <is>
          <t>Official / government source</t>
        </is>
      </c>
      <c r="F150" s="348" t="inlineStr">
        <is>
          <t>Low</t>
        </is>
      </c>
    </row>
    <row r="151">
      <c r="A151" s="348" t="inlineStr">
        <is>
          <t>Montana</t>
        </is>
      </c>
      <c r="B151" s="348" t="inlineStr">
        <is>
          <t>Claims Deadlines</t>
        </is>
      </c>
      <c r="C151" s="348" t="inlineStr">
        <is>
          <t>Mont. Code Ann. § 33-18-201(2), (3), (5), (6)</t>
        </is>
      </c>
      <c r="D151" s="348" t="inlineStr">
        <is>
          <t>https://mca.legmt.gov/bills/mca/title_0330/chapter_0180/part_0020/section_0010/0330-0180-0020-0010.html</t>
        </is>
      </c>
      <c r="E151" s="348" t="inlineStr">
        <is>
          <t>Official / government source</t>
        </is>
      </c>
      <c r="F151" s="348" t="inlineStr">
        <is>
          <t>Low</t>
        </is>
      </c>
    </row>
    <row r="152">
      <c r="A152" s="348" t="inlineStr">
        <is>
          <t>Montana</t>
        </is>
      </c>
      <c r="B152" s="348" t="inlineStr">
        <is>
          <t>Comparative Negligence</t>
        </is>
      </c>
      <c r="C152" s="348" t="inlineStr">
        <is>
          <t>Mont. Code Ann. § 27-1-702</t>
        </is>
      </c>
      <c r="D152" s="348" t="inlineStr">
        <is>
          <t>https://mca.legmt.gov/bills/mca/title_0270/chapter_0010/part_0070/section_0020/0270-0010-0070-0020.html</t>
        </is>
      </c>
      <c r="E152" s="348" t="inlineStr">
        <is>
          <t>Official / government source</t>
        </is>
      </c>
      <c r="F152" s="348" t="inlineStr">
        <is>
          <t>Low</t>
        </is>
      </c>
    </row>
    <row r="153">
      <c r="A153" s="348" t="inlineStr">
        <is>
          <t>Montana</t>
        </is>
      </c>
      <c r="B153" s="348" t="inlineStr">
        <is>
          <t>PIP / No-Fault</t>
        </is>
      </c>
      <c r="C153" s="348" t="inlineStr">
        <is>
          <t>Mont. Code Ann. § 61-6-301</t>
        </is>
      </c>
      <c r="D153" s="348" t="inlineStr">
        <is>
          <t>https://leg.mt.gov/bills/mca/title_0610/chapter_0060/part_0030/section_0010/0610-0060-0030-0010.html</t>
        </is>
      </c>
      <c r="E153" s="348" t="inlineStr">
        <is>
          <t>Official / government source</t>
        </is>
      </c>
      <c r="F153" s="348" t="inlineStr">
        <is>
          <t>Low</t>
        </is>
      </c>
    </row>
    <row r="154">
      <c r="A154" s="348" t="inlineStr">
        <is>
          <t>Montana</t>
        </is>
      </c>
      <c r="B154" s="348" t="inlineStr">
        <is>
          <t>Policy Disclosure</t>
        </is>
      </c>
      <c r="C154" s="348" t="inlineStr">
        <is>
          <t>Mont. R. Civ. P. 26(b)(5); Mont. Code Ann. § 33-18-251; Wilkie v. Hartford Underwriters Ins. Co., 2021 MT 221</t>
        </is>
      </c>
      <c r="D154" s="348" t="inlineStr">
        <is>
          <t>https://juddocumentservice.mt.gov/getDocByCTrackId?DocId=349851</t>
        </is>
      </c>
      <c r="E154" s="348" t="inlineStr">
        <is>
          <t>Official / government source</t>
        </is>
      </c>
      <c r="F154" s="348" t="inlineStr">
        <is>
          <t>Low</t>
        </is>
      </c>
    </row>
    <row r="155">
      <c r="A155" s="348" t="inlineStr">
        <is>
          <t>Montana</t>
        </is>
      </c>
      <c r="B155" s="348" t="inlineStr">
        <is>
          <t>UM/UIM Rules</t>
        </is>
      </c>
      <c r="C155" s="348" t="inlineStr">
        <is>
          <t>Mont. Code Ann. § 33-23-201</t>
        </is>
      </c>
      <c r="D155" s="348" t="inlineStr">
        <is>
          <t>https://leg.mt.gov/bills/mca/title_0330/chapter_0230/part_0020/section_0010/0330-0230-0020-0010.html</t>
        </is>
      </c>
      <c r="E155" s="348" t="inlineStr">
        <is>
          <t>Official / government source</t>
        </is>
      </c>
      <c r="F155" s="348" t="inlineStr">
        <is>
          <t>Low</t>
        </is>
      </c>
    </row>
    <row r="156">
      <c r="A156" s="348" t="inlineStr">
        <is>
          <t>Nebraska</t>
        </is>
      </c>
      <c r="B156" s="348" t="inlineStr">
        <is>
          <t>Bad Faith</t>
        </is>
      </c>
      <c r="C156" s="348" t="inlineStr">
        <is>
          <t>Braesch v. Union Ins. Co.</t>
        </is>
      </c>
      <c r="D156" s="348" t="inlineStr">
        <is>
          <t>https://law.justia.com</t>
        </is>
      </c>
      <c r="E156" s="348" t="inlineStr">
        <is>
          <t>Non-government / secondary source</t>
        </is>
      </c>
      <c r="F156" s="348" t="inlineStr">
        <is>
          <t>Medium</t>
        </is>
      </c>
    </row>
    <row r="157">
      <c r="A157" s="348" t="inlineStr">
        <is>
          <t>Nebraska</t>
        </is>
      </c>
      <c r="B157" s="348" t="inlineStr">
        <is>
          <t>Claims Deadlines</t>
        </is>
      </c>
      <c r="C157" s="348" t="inlineStr">
        <is>
          <t>Neb. Rev. Stat. § 44-1540; 210 Neb. Admin. Code ch. 60/61</t>
        </is>
      </c>
      <c r="D157" s="348" t="inlineStr">
        <is>
          <t>https://nebraskalegislature.gov/laws/statutes.php?statute=44-1540</t>
        </is>
      </c>
      <c r="E157" s="348" t="inlineStr">
        <is>
          <t>Official / government source</t>
        </is>
      </c>
      <c r="F157" s="348" t="inlineStr">
        <is>
          <t>Low</t>
        </is>
      </c>
    </row>
    <row r="158">
      <c r="A158" s="348" t="inlineStr">
        <is>
          <t>Nebraska</t>
        </is>
      </c>
      <c r="B158" s="348" t="inlineStr">
        <is>
          <t>Comparative Negligence</t>
        </is>
      </c>
      <c r="C158" s="348" t="inlineStr">
        <is>
          <t>Neb. Rev. Stat. § 25-21,185.09</t>
        </is>
      </c>
      <c r="D158" s="348" t="inlineStr">
        <is>
          <t>https://nebraskalegislature.gov/laws/statutes.php?statute=25-21%2C185.09</t>
        </is>
      </c>
      <c r="E158" s="348" t="inlineStr">
        <is>
          <t>Official / government source</t>
        </is>
      </c>
      <c r="F158" s="348" t="inlineStr">
        <is>
          <t>Low</t>
        </is>
      </c>
    </row>
    <row r="159">
      <c r="A159" s="348" t="inlineStr">
        <is>
          <t>Nebraska</t>
        </is>
      </c>
      <c r="B159" s="348" t="inlineStr">
        <is>
          <t>PIP / No-Fault</t>
        </is>
      </c>
      <c r="C159" s="348" t="inlineStr">
        <is>
          <t>Neb. Rev. Stat. § 60-310</t>
        </is>
      </c>
      <c r="D159" s="348" t="inlineStr">
        <is>
          <t>https://nebraskalegislature.gov/laws/statutes.php?statute=60-310</t>
        </is>
      </c>
      <c r="E159" s="348" t="inlineStr">
        <is>
          <t>Official / government source</t>
        </is>
      </c>
      <c r="F159" s="348" t="inlineStr">
        <is>
          <t>Low</t>
        </is>
      </c>
    </row>
    <row r="160">
      <c r="A160" s="348" t="inlineStr">
        <is>
          <t>Nebraska</t>
        </is>
      </c>
      <c r="B160" s="348" t="inlineStr">
        <is>
          <t>Policy Disclosure</t>
        </is>
      </c>
      <c r="C160" s="348" t="inlineStr">
        <is>
          <t>Neb. Ct. R. Disc. § 6-326(b)(2)</t>
        </is>
      </c>
      <c r="D160" s="348" t="inlineStr">
        <is>
          <t>https://nebraskajudicial.gov/supreme-court-rules/chapter-6-trial-courts/article-3-nebraska-court-rules-discovery-civil-cases-effective-january-1-2025/%C2%A7-6-326-general-provisions-governing-discovery</t>
        </is>
      </c>
      <c r="E160" s="348" t="inlineStr">
        <is>
          <t>Official / government source</t>
        </is>
      </c>
      <c r="F160" s="348" t="inlineStr">
        <is>
          <t>Low</t>
        </is>
      </c>
    </row>
    <row r="161">
      <c r="A161" s="348" t="inlineStr">
        <is>
          <t>Nebraska</t>
        </is>
      </c>
      <c r="B161" s="348" t="inlineStr">
        <is>
          <t>UM/UIM Rules</t>
        </is>
      </c>
      <c r="C161" s="348" t="inlineStr">
        <is>
          <t>Neb. Rev. Stat. § 44-6408</t>
        </is>
      </c>
      <c r="D161" s="348" t="inlineStr">
        <is>
          <t>https://nebraskalegislature.gov/laws/statutes.php?statute=44-6408</t>
        </is>
      </c>
      <c r="E161" s="348" t="inlineStr">
        <is>
          <t>Official / government source</t>
        </is>
      </c>
      <c r="F161" s="348" t="inlineStr">
        <is>
          <t>Low</t>
        </is>
      </c>
    </row>
    <row r="162">
      <c r="A162" s="348" t="inlineStr">
        <is>
          <t>Nevada</t>
        </is>
      </c>
      <c r="B162" s="348" t="inlineStr">
        <is>
          <t>Bad Faith</t>
        </is>
      </c>
      <c r="C162" s="348" t="inlineStr">
        <is>
          <t>Nev. Rev. Stat. § 686A.310</t>
        </is>
      </c>
      <c r="D162" s="348" t="inlineStr">
        <is>
          <t>https://www.leg.state.nv.us</t>
        </is>
      </c>
      <c r="E162" s="348" t="inlineStr">
        <is>
          <t>Official / government source</t>
        </is>
      </c>
      <c r="F162" s="348" t="inlineStr">
        <is>
          <t>Low</t>
        </is>
      </c>
    </row>
    <row r="163">
      <c r="A163" s="348" t="inlineStr">
        <is>
          <t>Nevada</t>
        </is>
      </c>
      <c r="B163" s="348" t="inlineStr">
        <is>
          <t>Claims Deadlines</t>
        </is>
      </c>
      <c r="C163" s="348" t="inlineStr">
        <is>
          <t>Nev. Admin. Code §§ 686A.660, 686A.675, 686A.690</t>
        </is>
      </c>
      <c r="D163" s="348" t="inlineStr">
        <is>
          <t>https://www.leg.state.nv.us/NAC/NAC-686A.html</t>
        </is>
      </c>
      <c r="E163" s="348" t="inlineStr">
        <is>
          <t>Official / government source</t>
        </is>
      </c>
      <c r="F163" s="348" t="inlineStr">
        <is>
          <t>Low</t>
        </is>
      </c>
    </row>
    <row r="164">
      <c r="A164" s="348" t="inlineStr">
        <is>
          <t>Nevada</t>
        </is>
      </c>
      <c r="B164" s="348" t="inlineStr">
        <is>
          <t>Comparative Negligence</t>
        </is>
      </c>
      <c r="C164" s="348" t="inlineStr">
        <is>
          <t>NRS § 41.141</t>
        </is>
      </c>
      <c r="D164" s="348" t="inlineStr">
        <is>
          <t>https://www.leg.state.nv.us/nrs/nrs-041.html</t>
        </is>
      </c>
      <c r="E164" s="348" t="inlineStr">
        <is>
          <t>Official / government source</t>
        </is>
      </c>
      <c r="F164" s="348" t="inlineStr">
        <is>
          <t>Low</t>
        </is>
      </c>
    </row>
    <row r="165">
      <c r="A165" s="348" t="inlineStr">
        <is>
          <t>Nevada</t>
        </is>
      </c>
      <c r="B165" s="348" t="inlineStr">
        <is>
          <t>PIP / No-Fault</t>
        </is>
      </c>
      <c r="C165" s="348" t="inlineStr">
        <is>
          <t>NRS § 485.185</t>
        </is>
      </c>
      <c r="D165" s="348" t="inlineStr">
        <is>
          <t>https://www.leg.state.nv.us/NRS/NRS-485.html#NRS485Sec185</t>
        </is>
      </c>
      <c r="E165" s="348" t="inlineStr">
        <is>
          <t>Official / government source</t>
        </is>
      </c>
      <c r="F165" s="348" t="inlineStr">
        <is>
          <t>Low</t>
        </is>
      </c>
    </row>
    <row r="166">
      <c r="A166" s="348" t="inlineStr">
        <is>
          <t>Nevada</t>
        </is>
      </c>
      <c r="B166" s="348" t="inlineStr">
        <is>
          <t>Policy Disclosure</t>
        </is>
      </c>
      <c r="C166" s="348" t="inlineStr">
        <is>
          <t>NRS 690B.024</t>
        </is>
      </c>
      <c r="D166" s="348" t="inlineStr">
        <is>
          <t>https://www.leg.state.nv.us/nrs/nrs-690b.html</t>
        </is>
      </c>
      <c r="E166" s="348" t="inlineStr">
        <is>
          <t>Official / government source</t>
        </is>
      </c>
      <c r="F166" s="348" t="inlineStr">
        <is>
          <t>Low</t>
        </is>
      </c>
    </row>
    <row r="167">
      <c r="A167" s="348" t="inlineStr">
        <is>
          <t>Nevada</t>
        </is>
      </c>
      <c r="B167" s="348" t="inlineStr">
        <is>
          <t>UM/UIM Rules</t>
        </is>
      </c>
      <c r="C167" s="348" t="inlineStr">
        <is>
          <t>NRS § 687B.145</t>
        </is>
      </c>
      <c r="D167" s="348" t="inlineStr">
        <is>
          <t>https://www.leg.state.nv.us/nrs/NRS-687B.html#NRS687BSec145</t>
        </is>
      </c>
      <c r="E167" s="348" t="inlineStr">
        <is>
          <t>Official / government source</t>
        </is>
      </c>
      <c r="F167" s="348" t="inlineStr">
        <is>
          <t>Low</t>
        </is>
      </c>
    </row>
    <row r="168">
      <c r="A168" s="348" t="inlineStr">
        <is>
          <t>New Hampshire</t>
        </is>
      </c>
      <c r="B168" s="348" t="inlineStr">
        <is>
          <t>Bad Faith</t>
        </is>
      </c>
      <c r="C168" s="348" t="inlineStr">
        <is>
          <t>N.H. Rev. Stat. § 417:4</t>
        </is>
      </c>
      <c r="D168" s="348" t="inlineStr">
        <is>
          <t>https://www.gencourt.state.nh.us</t>
        </is>
      </c>
      <c r="E168" s="348" t="inlineStr">
        <is>
          <t>Official / government source</t>
        </is>
      </c>
      <c r="F168" s="348" t="inlineStr">
        <is>
          <t>Low</t>
        </is>
      </c>
    </row>
    <row r="169">
      <c r="A169" s="348" t="inlineStr">
        <is>
          <t>New Hampshire</t>
        </is>
      </c>
      <c r="B169" s="348" t="inlineStr">
        <is>
          <t>Claims Deadlines</t>
        </is>
      </c>
      <c r="C169" s="348" t="inlineStr">
        <is>
          <t>N.H. Code Admin. R. Ins 1001.01, 1001.02; Ins 1002.05</t>
        </is>
      </c>
      <c r="D169" s="348" t="inlineStr">
        <is>
          <t>https://www.gencourt.state.nh.us/rules/state_agencies/ins1000.html</t>
        </is>
      </c>
      <c r="E169" s="348" t="inlineStr">
        <is>
          <t>Official / government source</t>
        </is>
      </c>
      <c r="F169" s="348" t="inlineStr">
        <is>
          <t>Low</t>
        </is>
      </c>
    </row>
    <row r="170">
      <c r="A170" s="348" t="inlineStr">
        <is>
          <t>New Hampshire</t>
        </is>
      </c>
      <c r="B170" s="348" t="inlineStr">
        <is>
          <t>Comparative Negligence</t>
        </is>
      </c>
      <c r="C170" s="348" t="inlineStr">
        <is>
          <t>N.H. Rev. Stat. Ann. § 507:7-d</t>
        </is>
      </c>
      <c r="D170" s="348" t="inlineStr">
        <is>
          <t>https://law.justia.com/codes/new-hampshire/title-lii/chapter-507/section-507-7-d/</t>
        </is>
      </c>
      <c r="E170" s="348" t="inlineStr">
        <is>
          <t>Non-government / secondary source</t>
        </is>
      </c>
      <c r="F170" s="348" t="inlineStr">
        <is>
          <t>Medium</t>
        </is>
      </c>
    </row>
    <row r="171">
      <c r="A171" s="348" t="inlineStr">
        <is>
          <t>New Hampshire</t>
        </is>
      </c>
      <c r="B171" s="348" t="inlineStr">
        <is>
          <t>PIP / No-Fault</t>
        </is>
      </c>
      <c r="C171" s="348" t="inlineStr">
        <is>
          <t>N.H. Rev. Stat. § 264:16</t>
        </is>
      </c>
      <c r="D171" s="348" t="inlineStr">
        <is>
          <t>https://www.gencourt.state.nh.us/rsa/html/XXI/264/264-16.htm</t>
        </is>
      </c>
      <c r="E171" s="348" t="inlineStr">
        <is>
          <t>Official / government source</t>
        </is>
      </c>
      <c r="F171" s="348" t="inlineStr">
        <is>
          <t>Low</t>
        </is>
      </c>
    </row>
    <row r="172">
      <c r="A172" s="348" t="inlineStr">
        <is>
          <t>New Hampshire</t>
        </is>
      </c>
      <c r="B172" s="348" t="inlineStr">
        <is>
          <t>Policy Disclosure</t>
        </is>
      </c>
      <c r="C172" s="348" t="inlineStr">
        <is>
          <t>N.H. Rev. Stat. § 498:2-a</t>
        </is>
      </c>
      <c r="D172" s="348" t="inlineStr">
        <is>
          <t>https://www.gencourt.state.nh.us/rsa/html/LI/498/498-2-a.htm</t>
        </is>
      </c>
      <c r="E172" s="348" t="inlineStr">
        <is>
          <t>Official / government source</t>
        </is>
      </c>
      <c r="F172" s="348" t="inlineStr">
        <is>
          <t>Low</t>
        </is>
      </c>
    </row>
    <row r="173">
      <c r="A173" s="348" t="inlineStr">
        <is>
          <t>New Hampshire</t>
        </is>
      </c>
      <c r="B173" s="348" t="inlineStr">
        <is>
          <t>UM/UIM Rules</t>
        </is>
      </c>
      <c r="C173" s="348" t="inlineStr">
        <is>
          <t>N.H. Rev. Stat. § 264:15</t>
        </is>
      </c>
      <c r="D173" s="348" t="inlineStr">
        <is>
          <t>https://www.gencourt.state.nh.us/rsa/html/XXI/264/264-15.htm</t>
        </is>
      </c>
      <c r="E173" s="348" t="inlineStr">
        <is>
          <t>Official / government source</t>
        </is>
      </c>
      <c r="F173" s="348" t="inlineStr">
        <is>
          <t>Low</t>
        </is>
      </c>
    </row>
    <row r="174">
      <c r="A174" s="348" t="inlineStr">
        <is>
          <t>New Jersey</t>
        </is>
      </c>
      <c r="B174" s="348" t="inlineStr">
        <is>
          <t>Bad Faith</t>
        </is>
      </c>
      <c r="C174" s="348" t="inlineStr">
        <is>
          <t>Pickett v. Lloyd's; Rova Farms; N.J.S.A. 17:29BB-1 to 17:29BB-3</t>
        </is>
      </c>
      <c r="D174" s="348" t="inlineStr">
        <is>
          <t>https://www.njleg.state.nj.us/bill-search/2020/S1559/bill-text?f=PL21&amp;n=388_</t>
        </is>
      </c>
      <c r="E174" s="348" t="inlineStr">
        <is>
          <t>Official / government source</t>
        </is>
      </c>
      <c r="F174" s="348" t="inlineStr">
        <is>
          <t>Low</t>
        </is>
      </c>
    </row>
    <row r="175">
      <c r="A175" s="348" t="inlineStr">
        <is>
          <t>New Jersey</t>
        </is>
      </c>
      <c r="B175" s="348" t="inlineStr">
        <is>
          <t>Claims Deadlines</t>
        </is>
      </c>
      <c r="C175" s="348" t="inlineStr">
        <is>
          <t>N.J.A.C. 11:2-17.6(b), (c), (e); 11:2-17.7(a), (c), (e), (f)</t>
        </is>
      </c>
      <c r="D175" s="348" t="inlineStr">
        <is>
          <t>https://advance.lexis.com/container?config=00JAA5OTY5MTdjZi1lMzYxLTQxNTEtOWFkNi0xMmU5ZTViODQ2M2MKAFBvZENhdGFsb2coFSYEAfv22IKqMT9DIHrf; https://www.nj.gov/dca/codes/codreg/admin_codes_statutes.shtml</t>
        </is>
      </c>
      <c r="E175" s="348" t="inlineStr">
        <is>
          <t>Official / government source</t>
        </is>
      </c>
      <c r="F175" s="348" t="inlineStr">
        <is>
          <t>Low</t>
        </is>
      </c>
    </row>
    <row r="176">
      <c r="A176" s="348" t="inlineStr">
        <is>
          <t>New Jersey</t>
        </is>
      </c>
      <c r="B176" s="348" t="inlineStr">
        <is>
          <t>Comparative Negligence</t>
        </is>
      </c>
      <c r="C176" s="348" t="inlineStr">
        <is>
          <t>N.J. Stat. Ann. § 2A:15-5.1</t>
        </is>
      </c>
      <c r="D176" s="348" t="inlineStr">
        <is>
          <t>https://lis.njleg.state.nj.us/nxt/gateway.dll/statutes%2F1%2F112%2F353</t>
        </is>
      </c>
      <c r="E176" s="348" t="inlineStr">
        <is>
          <t>Official / government source</t>
        </is>
      </c>
      <c r="F176" s="348" t="inlineStr">
        <is>
          <t>Low</t>
        </is>
      </c>
    </row>
    <row r="177">
      <c r="A177" s="348" t="inlineStr">
        <is>
          <t>New Jersey</t>
        </is>
      </c>
      <c r="B177" s="348" t="inlineStr">
        <is>
          <t>PIP / No-Fault</t>
        </is>
      </c>
      <c r="C177" s="348" t="inlineStr">
        <is>
          <t>N.J. Stat. §§ 39:6A-4; 39:6A-8</t>
        </is>
      </c>
      <c r="D177" s="348" t="inlineStr">
        <is>
          <t>https://lis.njleg.state.nj.us/nxt/gateway.dll?f=templates&amp;fn=default.htm&amp;vid=Publish:10.1048/Enu</t>
        </is>
      </c>
      <c r="E177" s="348" t="inlineStr">
        <is>
          <t>Official / government source</t>
        </is>
      </c>
      <c r="F177" s="348" t="inlineStr">
        <is>
          <t>Low</t>
        </is>
      </c>
    </row>
    <row r="178">
      <c r="A178" s="348" t="inlineStr">
        <is>
          <t>New Jersey</t>
        </is>
      </c>
      <c r="B178" s="348" t="inlineStr">
        <is>
          <t>Policy Disclosure</t>
        </is>
      </c>
      <c r="C178" s="348" t="inlineStr">
        <is>
          <t>N.J. Stat. §§ 39:6A-13.2; 39:6B-1.1</t>
        </is>
      </c>
      <c r="D178" s="348" t="inlineStr">
        <is>
          <t>https://pub.njleg.state.nj.us/Bills/2022/AL22/95_.PDF</t>
        </is>
      </c>
      <c r="E178" s="348" t="inlineStr">
        <is>
          <t>Official / government source</t>
        </is>
      </c>
      <c r="F178" s="348" t="inlineStr">
        <is>
          <t>Low</t>
        </is>
      </c>
    </row>
    <row r="179">
      <c r="A179" s="348" t="inlineStr">
        <is>
          <t>New Jersey</t>
        </is>
      </c>
      <c r="B179" s="348" t="inlineStr">
        <is>
          <t>UM/UIM Rules</t>
        </is>
      </c>
      <c r="C179" s="348" t="inlineStr">
        <is>
          <t>N.J. Stat. § 17:28-1.1</t>
        </is>
      </c>
      <c r="D179" s="348" t="inlineStr">
        <is>
          <t>https://pub.njleg.state.nj.us/Bills/2018/PL19/214_.HTM</t>
        </is>
      </c>
      <c r="E179" s="348" t="inlineStr">
        <is>
          <t>Official / government source</t>
        </is>
      </c>
      <c r="F179" s="348" t="inlineStr">
        <is>
          <t>Low</t>
        </is>
      </c>
    </row>
    <row r="180">
      <c r="A180" s="348" t="inlineStr">
        <is>
          <t>New Mexico</t>
        </is>
      </c>
      <c r="B180" s="348" t="inlineStr">
        <is>
          <t>Bad Faith</t>
        </is>
      </c>
      <c r="C180" s="348" t="inlineStr">
        <is>
          <t>N.M. Stat. § 59A-16-20</t>
        </is>
      </c>
      <c r="D180" s="348" t="inlineStr">
        <is>
          <t>https://nmonesource.com</t>
        </is>
      </c>
      <c r="E180" s="348" t="inlineStr">
        <is>
          <t>Verify source type</t>
        </is>
      </c>
      <c r="F180" s="348" t="inlineStr">
        <is>
          <t>Medium</t>
        </is>
      </c>
    </row>
    <row r="181">
      <c r="A181" s="348" t="inlineStr">
        <is>
          <t>New Mexico</t>
        </is>
      </c>
      <c r="B181" s="348" t="inlineStr">
        <is>
          <t>Claims Deadlines</t>
        </is>
      </c>
      <c r="C181" s="348" t="inlineStr">
        <is>
          <t>NMSA 1978, § 59A-16-20(B)-(F); OSI Bulletin 2025-010</t>
        </is>
      </c>
      <c r="D181" s="348" t="inlineStr">
        <is>
          <t>https://www.osi.state.nm.us/en/news/bulletin-2025-010/</t>
        </is>
      </c>
      <c r="E181" s="348" t="inlineStr">
        <is>
          <t>Official / government source</t>
        </is>
      </c>
      <c r="F181" s="348" t="inlineStr">
        <is>
          <t>Low</t>
        </is>
      </c>
    </row>
    <row r="182">
      <c r="A182" s="348" t="inlineStr">
        <is>
          <t>New Mexico</t>
        </is>
      </c>
      <c r="B182" s="348" t="inlineStr">
        <is>
          <t>Comparative Negligence</t>
        </is>
      </c>
      <c r="C182" s="348" t="inlineStr">
        <is>
          <t>Scott v. Rizzo, 96 N.M. 682, 634 P.2d 1234 (1981)</t>
        </is>
      </c>
      <c r="D182" s="348" t="inlineStr">
        <is>
          <t>https://law.justia.com/cases/new-mexico/supreme-court/1981/96-n-m-682.html</t>
        </is>
      </c>
      <c r="E182" s="348" t="inlineStr">
        <is>
          <t>Non-government / secondary source</t>
        </is>
      </c>
      <c r="F182" s="348" t="inlineStr">
        <is>
          <t>Medium</t>
        </is>
      </c>
    </row>
    <row r="183">
      <c r="A183" s="348" t="inlineStr">
        <is>
          <t>New Mexico</t>
        </is>
      </c>
      <c r="B183" s="348" t="inlineStr">
        <is>
          <t>PIP / No-Fault</t>
        </is>
      </c>
      <c r="C183" s="348" t="inlineStr">
        <is>
          <t>NMSA § 66-5-215</t>
        </is>
      </c>
      <c r="D183" s="348" t="inlineStr">
        <is>
          <t>https://nmonesource.com/nmos/nmsa/en/item/4426/index.do</t>
        </is>
      </c>
      <c r="E183" s="348" t="inlineStr">
        <is>
          <t>Verify source type</t>
        </is>
      </c>
      <c r="F183" s="348" t="inlineStr">
        <is>
          <t>Medium</t>
        </is>
      </c>
    </row>
    <row r="184">
      <c r="A184" s="348" t="inlineStr">
        <is>
          <t>New Mexico</t>
        </is>
      </c>
      <c r="B184" s="348" t="inlineStr">
        <is>
          <t>Policy Disclosure</t>
        </is>
      </c>
      <c r="C184" s="348" t="inlineStr">
        <is>
          <t>N.M. R. Civ. P. Dist. Ct. 1-026(B)(2)</t>
        </is>
      </c>
      <c r="D184" s="348" t="inlineStr">
        <is>
          <t>https://nmonesource.com/nmos/nmra/en/item/5636/index.do</t>
        </is>
      </c>
      <c r="E184" s="348" t="inlineStr">
        <is>
          <t>Verify source type</t>
        </is>
      </c>
      <c r="F184" s="348" t="inlineStr">
        <is>
          <t>Medium</t>
        </is>
      </c>
    </row>
    <row r="185">
      <c r="A185" s="348" t="inlineStr">
        <is>
          <t>New Mexico</t>
        </is>
      </c>
      <c r="B185" s="348" t="inlineStr">
        <is>
          <t>UM/UIM Rules</t>
        </is>
      </c>
      <c r="C185" s="348" t="inlineStr">
        <is>
          <t>N.M. Stat. § 66-5-301</t>
        </is>
      </c>
      <c r="D185" s="348" t="inlineStr">
        <is>
          <t>https://www.nmlegis.gov/Sessions/25%20Regular/bills/house/HB0097TPS.HTML</t>
        </is>
      </c>
      <c r="E185" s="348" t="inlineStr">
        <is>
          <t>Official / government source</t>
        </is>
      </c>
      <c r="F185" s="348" t="inlineStr">
        <is>
          <t>Low</t>
        </is>
      </c>
    </row>
    <row r="186">
      <c r="A186" s="348" t="inlineStr">
        <is>
          <t>New York</t>
        </is>
      </c>
      <c r="B186" s="348" t="inlineStr">
        <is>
          <t>Bad Faith</t>
        </is>
      </c>
      <c r="C186" s="348" t="inlineStr">
        <is>
          <t>N.Y. Ins. Law § 2601; Pavia v. State Farm; Bi-Economy Market</t>
        </is>
      </c>
      <c r="D186" s="348" t="inlineStr">
        <is>
          <t>https://www.nysenate.gov/legislation/laws/ISC/2601</t>
        </is>
      </c>
      <c r="E186" s="348" t="inlineStr">
        <is>
          <t>Official / government source</t>
        </is>
      </c>
      <c r="F186" s="348" t="inlineStr">
        <is>
          <t>Low</t>
        </is>
      </c>
    </row>
    <row r="187">
      <c r="A187" s="348" t="inlineStr">
        <is>
          <t>New York</t>
        </is>
      </c>
      <c r="B187" s="348" t="inlineStr">
        <is>
          <t>Claims Deadlines</t>
        </is>
      </c>
      <c r="C187" s="348" t="inlineStr">
        <is>
          <t>11 NYCRR §§ 216.4(a)-(b), 216.5(a), 216.6(c), 216.6(e); DFS Circular Letter No. 11 (1991)</t>
        </is>
      </c>
      <c r="D187" s="348" t="inlineStr">
        <is>
          <t>https://govt.westlaw.com/nycrr/Document/I500ddac5cd1711dda432a117e6e0f345; https://www.dfs.ny.gov/industry_guidance/circular_letters/cl1991_11</t>
        </is>
      </c>
      <c r="E187" s="348" t="inlineStr">
        <is>
          <t>Non-government / secondary source</t>
        </is>
      </c>
      <c r="F187" s="348" t="inlineStr">
        <is>
          <t>Medium</t>
        </is>
      </c>
    </row>
    <row r="188">
      <c r="A188" s="348" t="inlineStr">
        <is>
          <t>New York</t>
        </is>
      </c>
      <c r="B188" s="348" t="inlineStr">
        <is>
          <t>Comparative Negligence</t>
        </is>
      </c>
      <c r="C188" s="348" t="inlineStr">
        <is>
          <t>N.Y. C.P.L.R. § 1411</t>
        </is>
      </c>
      <c r="D188" s="348" t="inlineStr">
        <is>
          <t>https://www.nysenate.gov/legislation/laws/CVP/1411</t>
        </is>
      </c>
      <c r="E188" s="348" t="inlineStr">
        <is>
          <t>Official / government source</t>
        </is>
      </c>
      <c r="F188" s="348" t="inlineStr">
        <is>
          <t>Low</t>
        </is>
      </c>
    </row>
    <row r="189">
      <c r="A189" s="348" t="inlineStr">
        <is>
          <t>New York</t>
        </is>
      </c>
      <c r="B189" s="348" t="inlineStr">
        <is>
          <t>PIP / No-Fault</t>
        </is>
      </c>
      <c r="C189" s="348" t="inlineStr">
        <is>
          <t>N.Y. Ins. Law §§ 5102; 5104</t>
        </is>
      </c>
      <c r="D189" s="348" t="inlineStr">
        <is>
          <t>https://www.nysenate.gov/legislation/laws/ISC/5102</t>
        </is>
      </c>
      <c r="E189" s="348" t="inlineStr">
        <is>
          <t>Official / government source</t>
        </is>
      </c>
      <c r="F189" s="348" t="inlineStr">
        <is>
          <t>Low</t>
        </is>
      </c>
    </row>
    <row r="190">
      <c r="A190" s="348" t="inlineStr">
        <is>
          <t>New York</t>
        </is>
      </c>
      <c r="B190" s="348" t="inlineStr">
        <is>
          <t>Policy Disclosure</t>
        </is>
      </c>
      <c r="C190" s="348" t="inlineStr">
        <is>
          <t>N.Y. C.P.L.R. 3101(f)</t>
        </is>
      </c>
      <c r="D190" s="348" t="inlineStr">
        <is>
          <t>https://www.nysenate.gov/legislation/laws/CVP/3101</t>
        </is>
      </c>
      <c r="E190" s="348" t="inlineStr">
        <is>
          <t>Official / government source</t>
        </is>
      </c>
      <c r="F190" s="348" t="inlineStr">
        <is>
          <t>Low</t>
        </is>
      </c>
    </row>
    <row r="191">
      <c r="A191" s="348" t="inlineStr">
        <is>
          <t>New York</t>
        </is>
      </c>
      <c r="B191" s="348" t="inlineStr">
        <is>
          <t>UM/UIM Rules</t>
        </is>
      </c>
      <c r="C191" s="348" t="inlineStr">
        <is>
          <t>N.Y. Ins. Law § 3420(f)</t>
        </is>
      </c>
      <c r="D191" s="348" t="inlineStr">
        <is>
          <t>https://www.nysenate.gov/legislation/laws/ISC/3420</t>
        </is>
      </c>
      <c r="E191" s="348" t="inlineStr">
        <is>
          <t>Official / government source</t>
        </is>
      </c>
      <c r="F191" s="348" t="inlineStr">
        <is>
          <t>Low</t>
        </is>
      </c>
    </row>
    <row r="192">
      <c r="A192" s="348" t="inlineStr">
        <is>
          <t>North Carolina</t>
        </is>
      </c>
      <c r="B192" s="348" t="inlineStr">
        <is>
          <t>Bad Faith</t>
        </is>
      </c>
      <c r="C192" s="348" t="inlineStr">
        <is>
          <t>N.C. Gen. Stat. § 58-63-15; N.C. Gen. Stat. ch. 75</t>
        </is>
      </c>
      <c r="D192" s="348" t="inlineStr">
        <is>
          <t>https://www.ncleg.gov/EnactedLegislation/Statutes/HTML/BySection/Chapter_58/GS_58-63-15.html</t>
        </is>
      </c>
      <c r="E192" s="348" t="inlineStr">
        <is>
          <t>Official / government source</t>
        </is>
      </c>
      <c r="F192" s="348" t="inlineStr">
        <is>
          <t>Low</t>
        </is>
      </c>
    </row>
    <row r="193">
      <c r="A193" s="348" t="inlineStr">
        <is>
          <t>North Carolina</t>
        </is>
      </c>
      <c r="B193" s="348" t="inlineStr">
        <is>
          <t>Claims Deadlines</t>
        </is>
      </c>
      <c r="C193" s="348" t="inlineStr">
        <is>
          <t>N.C. Gen. Stat. § 58-63-15(11); 11 NCAC 04 .0421</t>
        </is>
      </c>
      <c r="D193" s="348" t="inlineStr">
        <is>
          <t>https://reports.oah.state.nc.us/ncac.asp?folderName=%5CTitle%2011%20-%20Insurance%5CChapter%2004%20-%20Consumer%20Services%20Division</t>
        </is>
      </c>
      <c r="E193" s="348" t="inlineStr">
        <is>
          <t>Official / government source</t>
        </is>
      </c>
      <c r="F193" s="348" t="inlineStr">
        <is>
          <t>Low</t>
        </is>
      </c>
    </row>
    <row r="194">
      <c r="A194" s="348" t="inlineStr">
        <is>
          <t>North Carolina</t>
        </is>
      </c>
      <c r="B194" s="348" t="inlineStr">
        <is>
          <t>Comparative Negligence</t>
        </is>
      </c>
      <c r="C194" s="348" t="inlineStr">
        <is>
          <t>Miller v. Miller, 273 N.C. 228 (1968)</t>
        </is>
      </c>
      <c r="D194" s="348" t="inlineStr">
        <is>
          <t>https://law.justia.com/cases/north-carolina/supreme-court/1968/278-0.html</t>
        </is>
      </c>
      <c r="E194" s="348" t="inlineStr">
        <is>
          <t>Non-government / secondary source</t>
        </is>
      </c>
      <c r="F194" s="348" t="inlineStr">
        <is>
          <t>Medium</t>
        </is>
      </c>
    </row>
    <row r="195">
      <c r="A195" s="348" t="inlineStr">
        <is>
          <t>North Carolina</t>
        </is>
      </c>
      <c r="B195" s="348" t="inlineStr">
        <is>
          <t>PIP / No-Fault</t>
        </is>
      </c>
      <c r="C195" s="348" t="inlineStr">
        <is>
          <t>N.C. Gen. Stat. § 20-279.21</t>
        </is>
      </c>
      <c r="D195" s="348" t="inlineStr">
        <is>
          <t>https://www.ncleg.gov/EnactedLegislation/Statutes/HTML/BySection/Chapter_20/GS_20-279.21.html</t>
        </is>
      </c>
      <c r="E195" s="348" t="inlineStr">
        <is>
          <t>Official / government source</t>
        </is>
      </c>
      <c r="F195" s="348" t="inlineStr">
        <is>
          <t>Low</t>
        </is>
      </c>
    </row>
    <row r="196">
      <c r="A196" s="348" t="inlineStr">
        <is>
          <t>North Carolina</t>
        </is>
      </c>
      <c r="B196" s="348" t="inlineStr">
        <is>
          <t>Policy Disclosure</t>
        </is>
      </c>
      <c r="C196" s="348" t="inlineStr">
        <is>
          <t>N.C. Gen. Stat. § 58-3-33</t>
        </is>
      </c>
      <c r="D196" s="348" t="inlineStr">
        <is>
          <t>https://www.ncleg.gov/EnactedLegislation/Statutes/PDF/BySection/Chapter_58/GS_58-3-33.pdf</t>
        </is>
      </c>
      <c r="E196" s="348" t="inlineStr">
        <is>
          <t>Official / government source</t>
        </is>
      </c>
      <c r="F196" s="348" t="inlineStr">
        <is>
          <t>Low</t>
        </is>
      </c>
    </row>
    <row r="197">
      <c r="A197" s="348" t="inlineStr">
        <is>
          <t>North Carolina</t>
        </is>
      </c>
      <c r="B197" s="348" t="inlineStr">
        <is>
          <t>UM/UIM Rules</t>
        </is>
      </c>
      <c r="C197" s="348" t="inlineStr">
        <is>
          <t>N.C. Gen. Stat. § 20-279.21</t>
        </is>
      </c>
      <c r="D197" s="348" t="inlineStr">
        <is>
          <t>https://www.ncleg.gov/EnactedLegislation/Statutes/PDF/BySection/Chapter_20/GS_20-279.21.pdf</t>
        </is>
      </c>
      <c r="E197" s="348" t="inlineStr">
        <is>
          <t>Official / government source</t>
        </is>
      </c>
      <c r="F197" s="348" t="inlineStr">
        <is>
          <t>Low</t>
        </is>
      </c>
    </row>
    <row r="198">
      <c r="A198" s="348" t="inlineStr">
        <is>
          <t>North Dakota</t>
        </is>
      </c>
      <c r="B198" s="348" t="inlineStr">
        <is>
          <t>Bad Faith</t>
        </is>
      </c>
      <c r="C198" s="348" t="inlineStr">
        <is>
          <t>Corwin Chrysler-Plymouth v. Westchester</t>
        </is>
      </c>
      <c r="D198" s="348" t="inlineStr">
        <is>
          <t>https://law.justia.com</t>
        </is>
      </c>
      <c r="E198" s="348" t="inlineStr">
        <is>
          <t>Non-government / secondary source</t>
        </is>
      </c>
      <c r="F198" s="348" t="inlineStr">
        <is>
          <t>Medium</t>
        </is>
      </c>
    </row>
    <row r="199">
      <c r="A199" s="348" t="inlineStr">
        <is>
          <t>North Dakota</t>
        </is>
      </c>
      <c r="B199" s="348" t="inlineStr">
        <is>
          <t>Claims Deadlines</t>
        </is>
      </c>
      <c r="C199" s="348" t="inlineStr">
        <is>
          <t>N.D.C.C. § 26.1-04-03(9); § 26.1-36-37.1</t>
        </is>
      </c>
      <c r="D199" s="348" t="inlineStr">
        <is>
          <t>https://ndlegis.gov/cencode/t26-1c04.pdf</t>
        </is>
      </c>
      <c r="E199" s="348" t="inlineStr">
        <is>
          <t>Official / government source</t>
        </is>
      </c>
      <c r="F199" s="348" t="inlineStr">
        <is>
          <t>Low</t>
        </is>
      </c>
    </row>
    <row r="200">
      <c r="A200" s="348" t="inlineStr">
        <is>
          <t>North Dakota</t>
        </is>
      </c>
      <c r="B200" s="348" t="inlineStr">
        <is>
          <t>Comparative Negligence</t>
        </is>
      </c>
      <c r="C200" s="348" t="inlineStr">
        <is>
          <t>N.D. Cent. Code § 32-03.2-02</t>
        </is>
      </c>
      <c r="D200" s="348" t="inlineStr">
        <is>
          <t>https://ndlegis.gov/cencode/t32c03-2.pdf</t>
        </is>
      </c>
      <c r="E200" s="348" t="inlineStr">
        <is>
          <t>Official / government source</t>
        </is>
      </c>
      <c r="F200" s="348" t="inlineStr">
        <is>
          <t>Low</t>
        </is>
      </c>
    </row>
    <row r="201">
      <c r="A201" s="348" t="inlineStr">
        <is>
          <t>North Dakota</t>
        </is>
      </c>
      <c r="B201" s="348" t="inlineStr">
        <is>
          <t>PIP / No-Fault</t>
        </is>
      </c>
      <c r="C201" s="348" t="inlineStr">
        <is>
          <t>N.D.C.C. ch. 26.1-41</t>
        </is>
      </c>
      <c r="D201" s="348" t="inlineStr">
        <is>
          <t>https://ndlegis.gov/cencode/t26-1c41.pdf</t>
        </is>
      </c>
      <c r="E201" s="348" t="inlineStr">
        <is>
          <t>Official / government source</t>
        </is>
      </c>
      <c r="F201" s="348" t="inlineStr">
        <is>
          <t>Low</t>
        </is>
      </c>
    </row>
    <row r="202">
      <c r="A202" s="348" t="inlineStr">
        <is>
          <t>North Dakota</t>
        </is>
      </c>
      <c r="B202" s="348" t="inlineStr">
        <is>
          <t>Policy Disclosure</t>
        </is>
      </c>
      <c r="C202" s="348" t="inlineStr">
        <is>
          <t>N.D.R.Civ.P. 26(b)(2)</t>
        </is>
      </c>
      <c r="D202" s="348" t="inlineStr">
        <is>
          <t>https://www.ndcourts.gov/legal-resources/rules/ndrcivp/26</t>
        </is>
      </c>
      <c r="E202" s="348" t="inlineStr">
        <is>
          <t>Official / government source</t>
        </is>
      </c>
      <c r="F202" s="348" t="inlineStr">
        <is>
          <t>Low</t>
        </is>
      </c>
    </row>
    <row r="203">
      <c r="A203" s="348" t="inlineStr">
        <is>
          <t>North Dakota</t>
        </is>
      </c>
      <c r="B203" s="348" t="inlineStr">
        <is>
          <t>UM/UIM Rules</t>
        </is>
      </c>
      <c r="C203" s="348" t="inlineStr">
        <is>
          <t>N.D.C.C. §§ 26.1-40-15.1 to 26.1-40-15.7</t>
        </is>
      </c>
      <c r="D203" s="348" t="inlineStr">
        <is>
          <t>https://ndlegis.gov/cencode/t26-1c40.pdf</t>
        </is>
      </c>
      <c r="E203" s="348" t="inlineStr">
        <is>
          <t>Official / government source</t>
        </is>
      </c>
      <c r="F203" s="348" t="inlineStr">
        <is>
          <t>Low</t>
        </is>
      </c>
    </row>
    <row r="204">
      <c r="A204" s="348" t="inlineStr">
        <is>
          <t>Ohio</t>
        </is>
      </c>
      <c r="B204" s="348" t="inlineStr">
        <is>
          <t>Bad Faith</t>
        </is>
      </c>
      <c r="C204" s="348" t="inlineStr">
        <is>
          <t>Hoskins v. Aetna Life Ins. Co.</t>
        </is>
      </c>
      <c r="D204" s="348" t="inlineStr">
        <is>
          <t>https://law.justia.com</t>
        </is>
      </c>
      <c r="E204" s="348" t="inlineStr">
        <is>
          <t>Non-government / secondary source</t>
        </is>
      </c>
      <c r="F204" s="348" t="inlineStr">
        <is>
          <t>Medium</t>
        </is>
      </c>
    </row>
    <row r="205">
      <c r="A205" s="348" t="inlineStr">
        <is>
          <t>Ohio</t>
        </is>
      </c>
      <c r="B205" s="348" t="inlineStr">
        <is>
          <t>Claims Deadlines</t>
        </is>
      </c>
      <c r="C205" s="348" t="inlineStr">
        <is>
          <t>Ohio Admin. Code 3901-1-54(F), (G), (H)</t>
        </is>
      </c>
      <c r="D205" s="348" t="inlineStr">
        <is>
          <t>https://codes.ohio.gov/ohio-administrative-code/rule-3901-1-54</t>
        </is>
      </c>
      <c r="E205" s="348" t="inlineStr">
        <is>
          <t>Official / government source</t>
        </is>
      </c>
      <c r="F205" s="348" t="inlineStr">
        <is>
          <t>Low</t>
        </is>
      </c>
    </row>
    <row r="206">
      <c r="A206" s="348" t="inlineStr">
        <is>
          <t>Ohio</t>
        </is>
      </c>
      <c r="B206" s="348" t="inlineStr">
        <is>
          <t>Comparative Negligence</t>
        </is>
      </c>
      <c r="C206" s="348" t="inlineStr">
        <is>
          <t>Ohio Rev. Code § 2315.33</t>
        </is>
      </c>
      <c r="D206" s="348" t="inlineStr">
        <is>
          <t>https://codes.ohio.gov/ohio-revised-code/section-2315.33</t>
        </is>
      </c>
      <c r="E206" s="348" t="inlineStr">
        <is>
          <t>Official / government source</t>
        </is>
      </c>
      <c r="F206" s="348" t="inlineStr">
        <is>
          <t>Low</t>
        </is>
      </c>
    </row>
    <row r="207">
      <c r="A207" s="348" t="inlineStr">
        <is>
          <t>Ohio</t>
        </is>
      </c>
      <c r="B207" s="348" t="inlineStr">
        <is>
          <t>PIP / No-Fault</t>
        </is>
      </c>
      <c r="C207" s="348" t="inlineStr">
        <is>
          <t>Ohio Rev. Code § 4509.101</t>
        </is>
      </c>
      <c r="D207" s="348" t="inlineStr">
        <is>
          <t>https://codes.ohio.gov/ohio-revised-code/section-4509.101</t>
        </is>
      </c>
      <c r="E207" s="348" t="inlineStr">
        <is>
          <t>Official / government source</t>
        </is>
      </c>
      <c r="F207" s="348" t="inlineStr">
        <is>
          <t>Low</t>
        </is>
      </c>
    </row>
    <row r="208">
      <c r="A208" s="348" t="inlineStr">
        <is>
          <t>Ohio</t>
        </is>
      </c>
      <c r="B208" s="348" t="inlineStr">
        <is>
          <t>Policy Disclosure</t>
        </is>
      </c>
      <c r="C208" s="348" t="inlineStr">
        <is>
          <t>Ohio Civ.R. 26(B)(8)</t>
        </is>
      </c>
      <c r="D208" s="348" t="inlineStr">
        <is>
          <t>https://www.supremecourt.ohio.gov/docs/LegalResources/Rules/civil/CivilProcedure.pdf</t>
        </is>
      </c>
      <c r="E208" s="348" t="inlineStr">
        <is>
          <t>Official / government source</t>
        </is>
      </c>
      <c r="F208" s="348" t="inlineStr">
        <is>
          <t>Low</t>
        </is>
      </c>
    </row>
    <row r="209">
      <c r="A209" s="348" t="inlineStr">
        <is>
          <t>Ohio</t>
        </is>
      </c>
      <c r="B209" s="348" t="inlineStr">
        <is>
          <t>UM/UIM Rules</t>
        </is>
      </c>
      <c r="C209" s="348" t="inlineStr">
        <is>
          <t>Ohio Rev. Code § 3937.18</t>
        </is>
      </c>
      <c r="D209" s="348" t="inlineStr">
        <is>
          <t>https://codes.ohio.gov/ohio-revised-code/section-3937.18</t>
        </is>
      </c>
      <c r="E209" s="348" t="inlineStr">
        <is>
          <t>Official / government source</t>
        </is>
      </c>
      <c r="F209" s="348" t="inlineStr">
        <is>
          <t>Low</t>
        </is>
      </c>
    </row>
    <row r="210">
      <c r="A210" s="348" t="inlineStr">
        <is>
          <t>Oklahoma</t>
        </is>
      </c>
      <c r="B210" s="348" t="inlineStr">
        <is>
          <t>Bad Faith</t>
        </is>
      </c>
      <c r="C210" s="348" t="inlineStr">
        <is>
          <t>Christian v. American Home Assurance Co.</t>
        </is>
      </c>
      <c r="D210" s="348" t="inlineStr">
        <is>
          <t>https://law.justia.com</t>
        </is>
      </c>
      <c r="E210" s="348" t="inlineStr">
        <is>
          <t>Non-government / secondary source</t>
        </is>
      </c>
      <c r="F210" s="348" t="inlineStr">
        <is>
          <t>Medium</t>
        </is>
      </c>
    </row>
    <row r="211">
      <c r="A211" s="348" t="inlineStr">
        <is>
          <t>Oklahoma</t>
        </is>
      </c>
      <c r="B211" s="348" t="inlineStr">
        <is>
          <t>Claims Deadlines</t>
        </is>
      </c>
      <c r="C211" s="348" t="inlineStr">
        <is>
          <t>Okla. Admin. Code 365:15-3-5 to 365:15-3-8</t>
        </is>
      </c>
      <c r="D211" s="348" t="inlineStr">
        <is>
          <t>https://www.oid.ok.gov/wp-content/uploads/2019/10/18-11-07-C15S3.pdf</t>
        </is>
      </c>
      <c r="E211" s="348" t="inlineStr">
        <is>
          <t>Official / government source</t>
        </is>
      </c>
      <c r="F211" s="348" t="inlineStr">
        <is>
          <t>Low</t>
        </is>
      </c>
    </row>
    <row r="212">
      <c r="A212" s="348" t="inlineStr">
        <is>
          <t>Oklahoma</t>
        </is>
      </c>
      <c r="B212" s="348" t="inlineStr">
        <is>
          <t>Comparative Negligence</t>
        </is>
      </c>
      <c r="C212" s="348" t="inlineStr">
        <is>
          <t>Okla. Stat. tit. 23, § 13</t>
        </is>
      </c>
      <c r="D212" s="348" t="inlineStr">
        <is>
          <t>https://oksenate.gov/sites/default/files/2019-12/os23.pdf</t>
        </is>
      </c>
      <c r="E212" s="348" t="inlineStr">
        <is>
          <t>Official / government source</t>
        </is>
      </c>
      <c r="F212" s="348" t="inlineStr">
        <is>
          <t>Low</t>
        </is>
      </c>
    </row>
    <row r="213">
      <c r="A213" s="348" t="inlineStr">
        <is>
          <t>Oklahoma</t>
        </is>
      </c>
      <c r="B213" s="348" t="inlineStr">
        <is>
          <t>PIP / No-Fault</t>
        </is>
      </c>
      <c r="C213" s="348" t="inlineStr">
        <is>
          <t>Okla. Stat. tit. 47 § 7-600</t>
        </is>
      </c>
      <c r="D213" s="348" t="inlineStr">
        <is>
          <t>https://www.oscn.net/applications/oscn/DeliverDocument.asp?CiteID=82366</t>
        </is>
      </c>
      <c r="E213" s="348" t="inlineStr">
        <is>
          <t>Verify source type</t>
        </is>
      </c>
      <c r="F213" s="348" t="inlineStr">
        <is>
          <t>Medium</t>
        </is>
      </c>
    </row>
    <row r="214">
      <c r="A214" s="348" t="inlineStr">
        <is>
          <t>Oklahoma</t>
        </is>
      </c>
      <c r="B214" s="348" t="inlineStr">
        <is>
          <t>Policy Disclosure</t>
        </is>
      </c>
      <c r="C214" s="348" t="inlineStr">
        <is>
          <t>Okla. Stat. tit. 12, § 3226(B)(2)(b)</t>
        </is>
      </c>
      <c r="D214" s="348" t="inlineStr">
        <is>
          <t>https://www.oscn.net/applications/oscn/DeliverDocument.asp?CiteID=440624</t>
        </is>
      </c>
      <c r="E214" s="348" t="inlineStr">
        <is>
          <t>Verify source type</t>
        </is>
      </c>
      <c r="F214" s="348" t="inlineStr">
        <is>
          <t>Medium</t>
        </is>
      </c>
    </row>
    <row r="215">
      <c r="A215" s="348" t="inlineStr">
        <is>
          <t>Oklahoma</t>
        </is>
      </c>
      <c r="B215" s="348" t="inlineStr">
        <is>
          <t>UM/UIM Rules</t>
        </is>
      </c>
      <c r="C215" s="348" t="inlineStr">
        <is>
          <t>36 O.S. § 3636</t>
        </is>
      </c>
      <c r="D215" s="348" t="inlineStr">
        <is>
          <t>https://law.justia.com/codes/oklahoma/title-36/section-36-3636/</t>
        </is>
      </c>
      <c r="E215" s="348" t="inlineStr">
        <is>
          <t>Non-government / secondary source</t>
        </is>
      </c>
      <c r="F215" s="348" t="inlineStr">
        <is>
          <t>Medium</t>
        </is>
      </c>
    </row>
    <row r="216">
      <c r="A216" s="348" t="inlineStr">
        <is>
          <t>Oregon</t>
        </is>
      </c>
      <c r="B216" s="348" t="inlineStr">
        <is>
          <t>Bad Faith</t>
        </is>
      </c>
      <c r="C216" s="348" t="inlineStr">
        <is>
          <t>Or. Rev. Stat. § 746.230</t>
        </is>
      </c>
      <c r="D216" s="348" t="inlineStr">
        <is>
          <t>https://www.oregonlegislature.gov</t>
        </is>
      </c>
      <c r="E216" s="348" t="inlineStr">
        <is>
          <t>Official / government source</t>
        </is>
      </c>
      <c r="F216" s="348" t="inlineStr">
        <is>
          <t>Low</t>
        </is>
      </c>
    </row>
    <row r="217">
      <c r="A217" s="348" t="inlineStr">
        <is>
          <t>Oregon</t>
        </is>
      </c>
      <c r="B217" s="348" t="inlineStr">
        <is>
          <t>Claims Deadlines</t>
        </is>
      </c>
      <c r="C217" s="348" t="inlineStr">
        <is>
          <t>Or. Admin. R. 836-080-0225; 836-080-0235; ORS 746.230</t>
        </is>
      </c>
      <c r="D217" s="348" t="inlineStr">
        <is>
          <t>https://secure.sos.state.or.us/oard/viewSingleRule.action?ruleVrsnRsn=205177</t>
        </is>
      </c>
      <c r="E217" s="348" t="inlineStr">
        <is>
          <t>Official / government source</t>
        </is>
      </c>
      <c r="F217" s="348" t="inlineStr">
        <is>
          <t>Low</t>
        </is>
      </c>
    </row>
    <row r="218">
      <c r="A218" s="348" t="inlineStr">
        <is>
          <t>Oregon</t>
        </is>
      </c>
      <c r="B218" s="348" t="inlineStr">
        <is>
          <t>Comparative Negligence</t>
        </is>
      </c>
      <c r="C218" s="348" t="inlineStr">
        <is>
          <t>Or. Rev. Stat. § 31.600</t>
        </is>
      </c>
      <c r="D218" s="348" t="inlineStr">
        <is>
          <t>https://www.oregonlegislature.gov/bills_laws/ors/ors031.html</t>
        </is>
      </c>
      <c r="E218" s="348" t="inlineStr">
        <is>
          <t>Official / government source</t>
        </is>
      </c>
      <c r="F218" s="348" t="inlineStr">
        <is>
          <t>Low</t>
        </is>
      </c>
    </row>
    <row r="219">
      <c r="A219" s="348" t="inlineStr">
        <is>
          <t>Oregon</t>
        </is>
      </c>
      <c r="B219" s="348" t="inlineStr">
        <is>
          <t>PIP / No-Fault</t>
        </is>
      </c>
      <c r="C219" s="348" t="inlineStr">
        <is>
          <t>ORS §§ 742.520; 742.524</t>
        </is>
      </c>
      <c r="D219" s="348" t="inlineStr">
        <is>
          <t>https://www.oregon.gov/odot/dmv/pages/driverid/insurance.aspx</t>
        </is>
      </c>
      <c r="E219" s="348" t="inlineStr">
        <is>
          <t>Official / government source</t>
        </is>
      </c>
      <c r="F219" s="348" t="inlineStr">
        <is>
          <t>Low</t>
        </is>
      </c>
    </row>
    <row r="220">
      <c r="A220" s="348" t="inlineStr">
        <is>
          <t>Oregon</t>
        </is>
      </c>
      <c r="B220" s="348" t="inlineStr">
        <is>
          <t>Policy Disclosure</t>
        </is>
      </c>
      <c r="C220" s="348" t="inlineStr">
        <is>
          <t>ORCP 36 B(2)</t>
        </is>
      </c>
      <c r="D220" s="348" t="inlineStr">
        <is>
          <t>https://www.oregonlegislature.gov/bills_laws/SiteAssets/ORCP.html</t>
        </is>
      </c>
      <c r="E220" s="348" t="inlineStr">
        <is>
          <t>Official / government source</t>
        </is>
      </c>
      <c r="F220" s="348" t="inlineStr">
        <is>
          <t>Low</t>
        </is>
      </c>
    </row>
    <row r="221">
      <c r="A221" s="348" t="inlineStr">
        <is>
          <t>Oregon</t>
        </is>
      </c>
      <c r="B221" s="348" t="inlineStr">
        <is>
          <t>UM/UIM Rules</t>
        </is>
      </c>
      <c r="C221" s="348" t="inlineStr">
        <is>
          <t>ORS § 742.502; OAR 836-054-0000</t>
        </is>
      </c>
      <c r="D221" s="348" t="inlineStr">
        <is>
          <t>https://oregon.public.law/statutes/ors_742.502</t>
        </is>
      </c>
      <c r="E221" s="348" t="inlineStr">
        <is>
          <t>Verify source type</t>
        </is>
      </c>
      <c r="F221" s="348" t="inlineStr">
        <is>
          <t>Medium</t>
        </is>
      </c>
    </row>
    <row r="222">
      <c r="A222" s="348" t="inlineStr">
        <is>
          <t>Pennsylvania</t>
        </is>
      </c>
      <c r="B222" s="348" t="inlineStr">
        <is>
          <t>Bad Faith</t>
        </is>
      </c>
      <c r="C222" s="348" t="inlineStr">
        <is>
          <t>42 Pa.C.S. § 8371</t>
        </is>
      </c>
      <c r="D222" s="348" t="inlineStr">
        <is>
          <t>https://www.legis.state.pa.us/WU01/LI/LI/CT/HTM/42/00.083.071.000..HTM</t>
        </is>
      </c>
      <c r="E222" s="348" t="inlineStr">
        <is>
          <t>Official / government source</t>
        </is>
      </c>
      <c r="F222" s="348" t="inlineStr">
        <is>
          <t>Low</t>
        </is>
      </c>
    </row>
    <row r="223">
      <c r="A223" s="348" t="inlineStr">
        <is>
          <t>Pennsylvania</t>
        </is>
      </c>
      <c r="B223" s="348" t="inlineStr">
        <is>
          <t>Claims Deadlines</t>
        </is>
      </c>
      <c r="C223" s="348" t="inlineStr">
        <is>
          <t>31 Pa. Code §§ 146.5, 146.6, 146.7</t>
        </is>
      </c>
      <c r="D223" s="348" t="inlineStr">
        <is>
          <t>https://www.pacodeandbulletin.gov/secure/pacode/data/031/chapter146/031_0146.pdf</t>
        </is>
      </c>
      <c r="E223" s="348" t="inlineStr">
        <is>
          <t>Official / government source</t>
        </is>
      </c>
      <c r="F223" s="348" t="inlineStr">
        <is>
          <t>Low</t>
        </is>
      </c>
    </row>
    <row r="224">
      <c r="A224" s="348" t="inlineStr">
        <is>
          <t>Pennsylvania</t>
        </is>
      </c>
      <c r="B224" s="348" t="inlineStr">
        <is>
          <t>Comparative Negligence</t>
        </is>
      </c>
      <c r="C224" s="348" t="inlineStr">
        <is>
          <t>42 Pa.C.S. § 7102</t>
        </is>
      </c>
      <c r="D224" s="348" t="inlineStr">
        <is>
          <t>https://www.legis.state.pa.us/WU01/LI/LI/CT/HTM/42/00.071.002.000..HTM</t>
        </is>
      </c>
      <c r="E224" s="348" t="inlineStr">
        <is>
          <t>Official / government source</t>
        </is>
      </c>
      <c r="F224" s="348" t="inlineStr">
        <is>
          <t>Low</t>
        </is>
      </c>
    </row>
    <row r="225">
      <c r="A225" s="348" t="inlineStr">
        <is>
          <t>Pennsylvania</t>
        </is>
      </c>
      <c r="B225" s="348" t="inlineStr">
        <is>
          <t>PIP / No-Fault</t>
        </is>
      </c>
      <c r="C225" s="348" t="inlineStr">
        <is>
          <t>75 Pa.C.S. §§ 1705; 1711</t>
        </is>
      </c>
      <c r="D225" s="348" t="inlineStr">
        <is>
          <t>https://www.palegis.us/statutes/consolidated/view-statute?chapter=17&amp;div=0&amp;section=5&amp;subsctn=0&amp;ttl=75&amp;txtType=HTM</t>
        </is>
      </c>
      <c r="E225" s="348" t="inlineStr">
        <is>
          <t>Official / government source</t>
        </is>
      </c>
      <c r="F225" s="348" t="inlineStr">
        <is>
          <t>Low</t>
        </is>
      </c>
    </row>
    <row r="226">
      <c r="A226" s="348" t="inlineStr">
        <is>
          <t>Pennsylvania</t>
        </is>
      </c>
      <c r="B226" s="348" t="inlineStr">
        <is>
          <t>Policy Disclosure</t>
        </is>
      </c>
      <c r="C226" s="348" t="inlineStr">
        <is>
          <t>Pa. R.C.P. 4003.2</t>
        </is>
      </c>
      <c r="D226" s="348" t="inlineStr">
        <is>
          <t>https://www.pacodeandbulletin.gov/Display/pacode?d=reduce&amp;file=/secure/pacode/data/231/chapter4000/s4003.2.html</t>
        </is>
      </c>
      <c r="E226" s="348" t="inlineStr">
        <is>
          <t>Official / government source</t>
        </is>
      </c>
      <c r="F226" s="348" t="inlineStr">
        <is>
          <t>Low</t>
        </is>
      </c>
    </row>
    <row r="227">
      <c r="A227" s="348" t="inlineStr">
        <is>
          <t>Pennsylvania</t>
        </is>
      </c>
      <c r="B227" s="348" t="inlineStr">
        <is>
          <t>UM/UIM Rules</t>
        </is>
      </c>
      <c r="C227" s="348" t="inlineStr">
        <is>
          <t>75 Pa.C.S. §§ 1731, 1734, 1738</t>
        </is>
      </c>
      <c r="D227" s="348" t="inlineStr">
        <is>
          <t>https://www.legis.state.pa.us/WU01/LI/LI/CT/HTM/75/00.017.031.000..HTM</t>
        </is>
      </c>
      <c r="E227" s="348" t="inlineStr">
        <is>
          <t>Official / government source</t>
        </is>
      </c>
      <c r="F227" s="348" t="inlineStr">
        <is>
          <t>Low</t>
        </is>
      </c>
    </row>
    <row r="228">
      <c r="A228" s="348" t="inlineStr">
        <is>
          <t>Rhode Island</t>
        </is>
      </c>
      <c r="B228" s="348" t="inlineStr">
        <is>
          <t>Bad Faith</t>
        </is>
      </c>
      <c r="C228" s="348" t="inlineStr">
        <is>
          <t>R.I. Gen. Laws § 9-1-33</t>
        </is>
      </c>
      <c r="D228" s="348" t="inlineStr">
        <is>
          <t>https://webserver.rilegislature.gov</t>
        </is>
      </c>
      <c r="E228" s="348" t="inlineStr">
        <is>
          <t>Official / government source</t>
        </is>
      </c>
      <c r="F228" s="348" t="inlineStr">
        <is>
          <t>Low</t>
        </is>
      </c>
    </row>
    <row r="229">
      <c r="A229" s="348" t="inlineStr">
        <is>
          <t>Rhode Island</t>
        </is>
      </c>
      <c r="B229" s="348" t="inlineStr">
        <is>
          <t>Claims Deadlines</t>
        </is>
      </c>
      <c r="C229" s="348" t="inlineStr">
        <is>
          <t>230 RICR 20-40-2.6(A), (D), (F); 230 RICR 20-40-2.7(A), (B), (F)</t>
        </is>
      </c>
      <c r="D229" s="348" t="inlineStr">
        <is>
          <t>https://rules.sos.ri.gov/regulations/part/230-20-40-2</t>
        </is>
      </c>
      <c r="E229" s="348" t="inlineStr">
        <is>
          <t>Official / government source</t>
        </is>
      </c>
      <c r="F229" s="348" t="inlineStr">
        <is>
          <t>Low</t>
        </is>
      </c>
    </row>
    <row r="230">
      <c r="A230" s="348" t="inlineStr">
        <is>
          <t>Rhode Island</t>
        </is>
      </c>
      <c r="B230" s="348" t="inlineStr">
        <is>
          <t>Comparative Negligence</t>
        </is>
      </c>
      <c r="C230" s="348" t="inlineStr">
        <is>
          <t>R.I. Gen. Laws § 9-20-4</t>
        </is>
      </c>
      <c r="D230" s="348" t="inlineStr">
        <is>
          <t>https://webserver.rilegislature.gov/Statutes/TITLE9/9-20/9-20-4.HTM</t>
        </is>
      </c>
      <c r="E230" s="348" t="inlineStr">
        <is>
          <t>Official / government source</t>
        </is>
      </c>
      <c r="F230" s="348" t="inlineStr">
        <is>
          <t>Low</t>
        </is>
      </c>
    </row>
    <row r="231">
      <c r="A231" s="348" t="inlineStr">
        <is>
          <t>Rhode Island</t>
        </is>
      </c>
      <c r="B231" s="348" t="inlineStr">
        <is>
          <t>PIP / No-Fault</t>
        </is>
      </c>
      <c r="C231" s="348" t="inlineStr">
        <is>
          <t>R.I. Gen. Laws § 31-31-7</t>
        </is>
      </c>
      <c r="D231" s="348" t="inlineStr">
        <is>
          <t>https://webserver.rilegislature.gov/Statutes/TITLE31/31-31/31-31-7.htm</t>
        </is>
      </c>
      <c r="E231" s="348" t="inlineStr">
        <is>
          <t>Official / government source</t>
        </is>
      </c>
      <c r="F231" s="348" t="inlineStr">
        <is>
          <t>Low</t>
        </is>
      </c>
    </row>
    <row r="232">
      <c r="A232" s="348" t="inlineStr">
        <is>
          <t>Rhode Island</t>
        </is>
      </c>
      <c r="B232" s="348" t="inlineStr">
        <is>
          <t>Policy Disclosure</t>
        </is>
      </c>
      <c r="C232" s="348" t="inlineStr">
        <is>
          <t>R.I. Gen. Laws § 27-7-5</t>
        </is>
      </c>
      <c r="D232" s="348" t="inlineStr">
        <is>
          <t>https://webserver.rilegislature.gov/Statutes/TITLE27/27-7/27-7-5.htm</t>
        </is>
      </c>
      <c r="E232" s="348" t="inlineStr">
        <is>
          <t>Official / government source</t>
        </is>
      </c>
      <c r="F232" s="348" t="inlineStr">
        <is>
          <t>Low</t>
        </is>
      </c>
    </row>
    <row r="233">
      <c r="A233" s="348" t="inlineStr">
        <is>
          <t>Rhode Island</t>
        </is>
      </c>
      <c r="B233" s="348" t="inlineStr">
        <is>
          <t>UM/UIM Rules</t>
        </is>
      </c>
      <c r="C233" s="348" t="inlineStr">
        <is>
          <t>R.I. Gen. Laws § 27-7-2.1; 230-RICR-20-05-1</t>
        </is>
      </c>
      <c r="D233" s="348" t="inlineStr">
        <is>
          <t>https://rules.sos.ri.gov/regulations/part/230-20-05-1</t>
        </is>
      </c>
      <c r="E233" s="348" t="inlineStr">
        <is>
          <t>Official / government source</t>
        </is>
      </c>
      <c r="F233" s="348" t="inlineStr">
        <is>
          <t>Low</t>
        </is>
      </c>
    </row>
    <row r="234">
      <c r="A234" s="348" t="inlineStr">
        <is>
          <t>South Carolina</t>
        </is>
      </c>
      <c r="B234" s="348" t="inlineStr">
        <is>
          <t>Bad Faith</t>
        </is>
      </c>
      <c r="C234" s="348" t="inlineStr">
        <is>
          <t>Nichols v. State Farm</t>
        </is>
      </c>
      <c r="D234" s="348" t="inlineStr">
        <is>
          <t>https://law.justia.com</t>
        </is>
      </c>
      <c r="E234" s="348" t="inlineStr">
        <is>
          <t>Non-government / secondary source</t>
        </is>
      </c>
      <c r="F234" s="348" t="inlineStr">
        <is>
          <t>Medium</t>
        </is>
      </c>
    </row>
    <row r="235">
      <c r="A235" s="348" t="inlineStr">
        <is>
          <t>South Carolina</t>
        </is>
      </c>
      <c r="B235" s="348" t="inlineStr">
        <is>
          <t>Claims Deadlines</t>
        </is>
      </c>
      <c r="C235" s="348" t="inlineStr">
        <is>
          <t>S.C. Code Ann. §§ 38-59-20, 38-59-40</t>
        </is>
      </c>
      <c r="D235" s="348" t="inlineStr">
        <is>
          <t>https://www.scstatehouse.gov/code/t38c059.php</t>
        </is>
      </c>
      <c r="E235" s="348" t="inlineStr">
        <is>
          <t>Official / government source</t>
        </is>
      </c>
      <c r="F235" s="348" t="inlineStr">
        <is>
          <t>Low</t>
        </is>
      </c>
    </row>
    <row r="236">
      <c r="A236" s="348" t="inlineStr">
        <is>
          <t>South Carolina</t>
        </is>
      </c>
      <c r="B236" s="348" t="inlineStr">
        <is>
          <t>Comparative Negligence</t>
        </is>
      </c>
      <c r="C236" s="348" t="inlineStr">
        <is>
          <t>Nelson v. Concrete Supply Co., 303 S.C. 243, 399 S.E.2d 783 (1991)</t>
        </is>
      </c>
      <c r="D236" s="348" t="inlineStr">
        <is>
          <t>https://www.sccourts.org/opinions/htmlfiles/SC/24850.htm</t>
        </is>
      </c>
      <c r="E236" s="348" t="inlineStr">
        <is>
          <t>Official / government source</t>
        </is>
      </c>
      <c r="F236" s="348" t="inlineStr">
        <is>
          <t>Low</t>
        </is>
      </c>
    </row>
    <row r="237">
      <c r="A237" s="348" t="inlineStr">
        <is>
          <t>South Carolina</t>
        </is>
      </c>
      <c r="B237" s="348" t="inlineStr">
        <is>
          <t>PIP / No-Fault</t>
        </is>
      </c>
      <c r="C237" s="348" t="inlineStr">
        <is>
          <t>S.C. Code § 38-77-140</t>
        </is>
      </c>
      <c r="D237" s="348" t="inlineStr">
        <is>
          <t>https://www.scstatehouse.gov/code/t38c077.php</t>
        </is>
      </c>
      <c r="E237" s="348" t="inlineStr">
        <is>
          <t>Official / government source</t>
        </is>
      </c>
      <c r="F237" s="348" t="inlineStr">
        <is>
          <t>Low</t>
        </is>
      </c>
    </row>
    <row r="238">
      <c r="A238" s="348" t="inlineStr">
        <is>
          <t>South Carolina</t>
        </is>
      </c>
      <c r="B238" s="348" t="inlineStr">
        <is>
          <t>Policy Disclosure</t>
        </is>
      </c>
      <c r="C238" s="348" t="inlineStr">
        <is>
          <t>S.C. Code § 38-77-250</t>
        </is>
      </c>
      <c r="D238" s="348" t="inlineStr">
        <is>
          <t>https://www.scstatehouse.gov/code/t38c077.php</t>
        </is>
      </c>
      <c r="E238" s="348" t="inlineStr">
        <is>
          <t>Official / government source</t>
        </is>
      </c>
      <c r="F238" s="348" t="inlineStr">
        <is>
          <t>Low</t>
        </is>
      </c>
    </row>
    <row r="239">
      <c r="A239" s="348" t="inlineStr">
        <is>
          <t>South Carolina</t>
        </is>
      </c>
      <c r="B239" s="348" t="inlineStr">
        <is>
          <t>UM/UIM Rules</t>
        </is>
      </c>
      <c r="C239" s="348" t="inlineStr">
        <is>
          <t>S.C. Code §§ 38-77-150; 38-77-160</t>
        </is>
      </c>
      <c r="D239" s="348" t="inlineStr">
        <is>
          <t>https://www.scstatehouse.gov/code/t38c077.php</t>
        </is>
      </c>
      <c r="E239" s="348" t="inlineStr">
        <is>
          <t>Official / government source</t>
        </is>
      </c>
      <c r="F239" s="348" t="inlineStr">
        <is>
          <t>Low</t>
        </is>
      </c>
    </row>
    <row r="240">
      <c r="A240" s="348" t="inlineStr">
        <is>
          <t>South Dakota</t>
        </is>
      </c>
      <c r="B240" s="348" t="inlineStr">
        <is>
          <t>Bad Faith</t>
        </is>
      </c>
      <c r="C240" s="348" t="inlineStr">
        <is>
          <t>Champion v. U.S. Fidelity &amp; Guaranty Co.</t>
        </is>
      </c>
      <c r="D240" s="348" t="inlineStr">
        <is>
          <t>https://law.justia.com/cases/south-dakota/supreme-court/1987/15367-1.html</t>
        </is>
      </c>
      <c r="E240" s="348" t="inlineStr">
        <is>
          <t>Non-government / secondary source</t>
        </is>
      </c>
      <c r="F240" s="348" t="inlineStr">
        <is>
          <t>Medium</t>
        </is>
      </c>
    </row>
    <row r="241">
      <c r="A241" s="348" t="inlineStr">
        <is>
          <t>South Dakota</t>
        </is>
      </c>
      <c r="B241" s="348" t="inlineStr">
        <is>
          <t>Claims Deadlines</t>
        </is>
      </c>
      <c r="C241" s="348" t="inlineStr">
        <is>
          <t>S.D. Codified Laws §§ 58-33-67, 58-12-34</t>
        </is>
      </c>
      <c r="D241" s="348" t="inlineStr">
        <is>
          <t>https://sdlegislature.gov/Statutes/58-33-67</t>
        </is>
      </c>
      <c r="E241" s="348" t="inlineStr">
        <is>
          <t>Official / government source</t>
        </is>
      </c>
      <c r="F241" s="348" t="inlineStr">
        <is>
          <t>Low</t>
        </is>
      </c>
    </row>
    <row r="242">
      <c r="A242" s="348" t="inlineStr">
        <is>
          <t>South Dakota</t>
        </is>
      </c>
      <c r="B242" s="348" t="inlineStr">
        <is>
          <t>PIP / No-Fault</t>
        </is>
      </c>
      <c r="C242" s="348" t="inlineStr">
        <is>
          <t>SDCL § 32-35-70</t>
        </is>
      </c>
      <c r="D242" s="348" t="inlineStr">
        <is>
          <t>https://sdlegislature.gov/Statutes/32-35-70</t>
        </is>
      </c>
      <c r="E242" s="348" t="inlineStr">
        <is>
          <t>Official / government source</t>
        </is>
      </c>
      <c r="F242" s="348" t="inlineStr">
        <is>
          <t>Low</t>
        </is>
      </c>
    </row>
    <row r="243">
      <c r="A243" s="348" t="inlineStr">
        <is>
          <t>South Dakota</t>
        </is>
      </c>
      <c r="B243" s="348" t="inlineStr">
        <is>
          <t>Policy Disclosure</t>
        </is>
      </c>
      <c r="C243" s="348" t="inlineStr">
        <is>
          <t>S.D. Codified Laws § 15-6-26(b)</t>
        </is>
      </c>
      <c r="D243" s="348" t="inlineStr">
        <is>
          <t>https://sdlegislature.gov/Statutes/15-6-26%28b%29</t>
        </is>
      </c>
      <c r="E243" s="348" t="inlineStr">
        <is>
          <t>Official / government source</t>
        </is>
      </c>
      <c r="F243" s="348" t="inlineStr">
        <is>
          <t>Low</t>
        </is>
      </c>
    </row>
    <row r="244">
      <c r="A244" s="348" t="inlineStr">
        <is>
          <t>South Dakota</t>
        </is>
      </c>
      <c r="B244" s="348" t="inlineStr">
        <is>
          <t>UM/UIM Rules</t>
        </is>
      </c>
      <c r="C244" s="348" t="inlineStr">
        <is>
          <t>S.D. Codified Laws §§ 58-11-9 to 58-11-9.9</t>
        </is>
      </c>
      <c r="D244" s="348" t="inlineStr">
        <is>
          <t>https://sdlegislature.gov/Statutes/58-11</t>
        </is>
      </c>
      <c r="E244" s="348" t="inlineStr">
        <is>
          <t>Official / government source</t>
        </is>
      </c>
      <c r="F244" s="348" t="inlineStr">
        <is>
          <t>Low</t>
        </is>
      </c>
    </row>
    <row r="245">
      <c r="A245" s="348" t="inlineStr">
        <is>
          <t>Tennessee</t>
        </is>
      </c>
      <c r="B245" s="348" t="inlineStr">
        <is>
          <t>Bad Faith</t>
        </is>
      </c>
      <c r="C245" s="348" t="inlineStr">
        <is>
          <t>Tenn. Code Ann. § 56-7-105; State Auto. Ins. Co. v. Rowland</t>
        </is>
      </c>
      <c r="D245" s="348" t="inlineStr">
        <is>
          <t>https://law.justia.com/codes/tennessee/title-56/chapter-7/part-1/section-56-7-105/</t>
        </is>
      </c>
      <c r="E245" s="348" t="inlineStr">
        <is>
          <t>Non-government / secondary source</t>
        </is>
      </c>
      <c r="F245" s="348" t="inlineStr">
        <is>
          <t>Medium</t>
        </is>
      </c>
    </row>
    <row r="246">
      <c r="A246" s="348" t="inlineStr">
        <is>
          <t>Tennessee</t>
        </is>
      </c>
      <c r="B246" s="348" t="inlineStr">
        <is>
          <t>Claims Deadlines</t>
        </is>
      </c>
      <c r="C246" s="348" t="inlineStr">
        <is>
          <t>Tenn. Comp. R. &amp; Regs. 0780-01-05-.07, -.08; Tenn. Code Ann. § 56-8-105</t>
        </is>
      </c>
      <c r="D246" s="348" t="inlineStr">
        <is>
          <t>https://publications.tnsosfiles.com/rules/0780/0780-01/0780-01-05.20171009.pdf</t>
        </is>
      </c>
      <c r="E246" s="348" t="inlineStr">
        <is>
          <t>Official / government source</t>
        </is>
      </c>
      <c r="F246" s="348" t="inlineStr">
        <is>
          <t>Low</t>
        </is>
      </c>
    </row>
    <row r="247">
      <c r="A247" s="348" t="inlineStr">
        <is>
          <t>Tennessee</t>
        </is>
      </c>
      <c r="B247" s="348" t="inlineStr">
        <is>
          <t>PIP / No-Fault</t>
        </is>
      </c>
      <c r="C247" s="348" t="inlineStr">
        <is>
          <t>Tenn. Code Ann. § 55-12-102</t>
        </is>
      </c>
      <c r="D247" s="348" t="inlineStr">
        <is>
          <t>https://law.justia.com/codes/tennessee/title-55/chapter-12/part-1/section-55-12-102/</t>
        </is>
      </c>
      <c r="E247" s="348" t="inlineStr">
        <is>
          <t>Non-government / secondary source</t>
        </is>
      </c>
      <c r="F247" s="348" t="inlineStr">
        <is>
          <t>Medium</t>
        </is>
      </c>
    </row>
    <row r="248">
      <c r="A248" s="348" t="inlineStr">
        <is>
          <t>Tennessee</t>
        </is>
      </c>
      <c r="B248" s="348" t="inlineStr">
        <is>
          <t>Policy Disclosure</t>
        </is>
      </c>
      <c r="C248" s="348" t="inlineStr">
        <is>
          <t>Thomas v. Oldfield, 279 S.W.3d 259 (Tenn. 2009)</t>
        </is>
      </c>
      <c r="D248" s="348" t="inlineStr">
        <is>
          <t>https://www.tncourts.gov/courts/supreme-court/opinions/2009/02/02/james-g-thomas-jr-brother-and-next-kin-karen-g-thomas</t>
        </is>
      </c>
      <c r="E248" s="348" t="inlineStr">
        <is>
          <t>Official / government source</t>
        </is>
      </c>
      <c r="F248" s="348" t="inlineStr">
        <is>
          <t>Low</t>
        </is>
      </c>
    </row>
    <row r="249">
      <c r="A249" s="348" t="inlineStr">
        <is>
          <t>Tennessee</t>
        </is>
      </c>
      <c r="B249" s="348" t="inlineStr">
        <is>
          <t>UM/UIM Rules</t>
        </is>
      </c>
      <c r="C249" s="348" t="inlineStr">
        <is>
          <t>Tenn. Code Ann. § 56-7-1201</t>
        </is>
      </c>
      <c r="D249" s="348" t="inlineStr">
        <is>
          <t>https://law.justia.com/codes/tennessee/title-56/chapter-7/part-12/section-56-7-1201/</t>
        </is>
      </c>
      <c r="E249" s="348" t="inlineStr">
        <is>
          <t>Non-government / secondary source</t>
        </is>
      </c>
      <c r="F249" s="348" t="inlineStr">
        <is>
          <t>Medium</t>
        </is>
      </c>
    </row>
    <row r="250">
      <c r="A250" s="348" t="inlineStr">
        <is>
          <t>Texas</t>
        </is>
      </c>
      <c r="B250" s="348" t="inlineStr">
        <is>
          <t>Bad Faith</t>
        </is>
      </c>
      <c r="C250" s="348" t="inlineStr">
        <is>
          <t>Tex. Ins. Code chs. 541, 542; Stowers doctrine</t>
        </is>
      </c>
      <c r="D250" s="348" t="inlineStr">
        <is>
          <t>https://statutes.capitol.texas.gov/Docs/IN/htm/IN.541.htm</t>
        </is>
      </c>
      <c r="E250" s="348" t="inlineStr">
        <is>
          <t>Official / government source</t>
        </is>
      </c>
      <c r="F250" s="348" t="inlineStr">
        <is>
          <t>Low</t>
        </is>
      </c>
    </row>
    <row r="251">
      <c r="A251" s="348" t="inlineStr">
        <is>
          <t>Texas</t>
        </is>
      </c>
      <c r="B251" s="348" t="inlineStr">
        <is>
          <t>Claims Deadlines</t>
        </is>
      </c>
      <c r="C251" s="348" t="inlineStr">
        <is>
          <t>Tex. Ins. Code §§ 542.055, 542.056, 542.057</t>
        </is>
      </c>
      <c r="D251" s="348" t="inlineStr">
        <is>
          <t>https://statutes.capitol.texas.gov/Docs/IN/htm/IN.542.htm#542.055</t>
        </is>
      </c>
      <c r="E251" s="348" t="inlineStr">
        <is>
          <t>Official / government source</t>
        </is>
      </c>
      <c r="F251" s="348" t="inlineStr">
        <is>
          <t>Low</t>
        </is>
      </c>
    </row>
    <row r="252">
      <c r="A252" s="348" t="inlineStr">
        <is>
          <t>Texas</t>
        </is>
      </c>
      <c r="B252" s="348" t="inlineStr">
        <is>
          <t>PIP / No-Fault</t>
        </is>
      </c>
      <c r="C252" s="348" t="inlineStr">
        <is>
          <t>Tex. Ins. Code §§ 1952.151; 1952.152</t>
        </is>
      </c>
      <c r="D252" s="348" t="inlineStr">
        <is>
          <t>https://statutes.capitol.texas.gov/Docs/IN/htm/IN.1952.htm</t>
        </is>
      </c>
      <c r="E252" s="348" t="inlineStr">
        <is>
          <t>Official / government source</t>
        </is>
      </c>
      <c r="F252" s="348" t="inlineStr">
        <is>
          <t>Low</t>
        </is>
      </c>
    </row>
    <row r="253">
      <c r="A253" s="348" t="inlineStr">
        <is>
          <t>Texas</t>
        </is>
      </c>
      <c r="B253" s="348" t="inlineStr">
        <is>
          <t>Policy Disclosure</t>
        </is>
      </c>
      <c r="C253" s="348" t="inlineStr">
        <is>
          <t>Tex. R. Civ. P. 194.2(b)(7); Tex. R. Civ. P. 192.3(f)</t>
        </is>
      </c>
      <c r="D253" s="348" t="inlineStr">
        <is>
          <t>https://www.txcourts.gov/media/1456903/239052.pdf</t>
        </is>
      </c>
      <c r="E253" s="348" t="inlineStr">
        <is>
          <t>Official / government source</t>
        </is>
      </c>
      <c r="F253" s="348" t="inlineStr">
        <is>
          <t>Low</t>
        </is>
      </c>
    </row>
    <row r="254">
      <c r="A254" s="348" t="inlineStr">
        <is>
          <t>Texas</t>
        </is>
      </c>
      <c r="B254" s="348" t="inlineStr">
        <is>
          <t>UM/UIM Rules</t>
        </is>
      </c>
      <c r="C254" s="348" t="inlineStr">
        <is>
          <t>Tex. Ins. Code §§ 1952.101-1952.110</t>
        </is>
      </c>
      <c r="D254" s="348" t="inlineStr">
        <is>
          <t>https://statutes.capitol.texas.gov/Docs/IN/htm/IN.1952.htm</t>
        </is>
      </c>
      <c r="E254" s="348" t="inlineStr">
        <is>
          <t>Official / government source</t>
        </is>
      </c>
      <c r="F254" s="348" t="inlineStr">
        <is>
          <t>Low</t>
        </is>
      </c>
    </row>
    <row r="255">
      <c r="A255" s="348" t="inlineStr">
        <is>
          <t>Utah</t>
        </is>
      </c>
      <c r="B255" s="348" t="inlineStr">
        <is>
          <t>Bad Faith</t>
        </is>
      </c>
      <c r="C255" s="348" t="inlineStr">
        <is>
          <t>Utah Code § 31A-26-303; Beck v. Farmers Insurance Exchange</t>
        </is>
      </c>
      <c r="D255" s="348" t="inlineStr">
        <is>
          <t>https://le.utah.gov/xcode/Title31A/Chapter26/31A-26-S303.html</t>
        </is>
      </c>
      <c r="E255" s="348" t="inlineStr">
        <is>
          <t>Official / government source</t>
        </is>
      </c>
      <c r="F255" s="348" t="inlineStr">
        <is>
          <t>Low</t>
        </is>
      </c>
    </row>
    <row r="256">
      <c r="A256" s="348" t="inlineStr">
        <is>
          <t>Utah</t>
        </is>
      </c>
      <c r="B256" s="348" t="inlineStr">
        <is>
          <t>Claims Deadlines</t>
        </is>
      </c>
      <c r="C256" s="348" t="inlineStr">
        <is>
          <t>Utah Admin. Code R590-190-6; R590-190-9; R590-190-10</t>
        </is>
      </c>
      <c r="D256" s="348" t="inlineStr">
        <is>
          <t>https://adminrules.utah.gov/public/rule/R590-190/Current%20Rules</t>
        </is>
      </c>
      <c r="E256" s="348" t="inlineStr">
        <is>
          <t>Official / government source</t>
        </is>
      </c>
      <c r="F256" s="348" t="inlineStr">
        <is>
          <t>Low</t>
        </is>
      </c>
    </row>
    <row r="257">
      <c r="A257" s="348" t="inlineStr">
        <is>
          <t>Utah</t>
        </is>
      </c>
      <c r="B257" s="348" t="inlineStr">
        <is>
          <t>PIP / No-Fault</t>
        </is>
      </c>
      <c r="C257" s="348" t="inlineStr">
        <is>
          <t>Utah Code §§ 31A-22-307; 31A-22-309</t>
        </is>
      </c>
      <c r="D257" s="348" t="inlineStr">
        <is>
          <t>https://le.utah.gov/xcode/Title31A/Chapter22/31A-22-S309.html</t>
        </is>
      </c>
      <c r="E257" s="348" t="inlineStr">
        <is>
          <t>Official / government source</t>
        </is>
      </c>
      <c r="F257" s="348" t="inlineStr">
        <is>
          <t>Low</t>
        </is>
      </c>
    </row>
    <row r="258">
      <c r="A258" s="348" t="inlineStr">
        <is>
          <t>Utah</t>
        </is>
      </c>
      <c r="B258" s="348" t="inlineStr">
        <is>
          <t>Policy Disclosure</t>
        </is>
      </c>
      <c r="C258" s="348" t="inlineStr">
        <is>
          <t>Utah R. Civ. P. 26(a)(1)(D), 26(a)(2)</t>
        </is>
      </c>
      <c r="D258" s="348" t="inlineStr">
        <is>
          <t>https://legacy.utcourts.gov/rules/view.php?rule=26&amp;type=urcp</t>
        </is>
      </c>
      <c r="E258" s="348" t="inlineStr">
        <is>
          <t>Official / government source</t>
        </is>
      </c>
      <c r="F258" s="348" t="inlineStr">
        <is>
          <t>Low</t>
        </is>
      </c>
    </row>
    <row r="259">
      <c r="A259" s="348" t="inlineStr">
        <is>
          <t>Utah</t>
        </is>
      </c>
      <c r="B259" s="348" t="inlineStr">
        <is>
          <t>UM/UIM Rules</t>
        </is>
      </c>
      <c r="C259" s="348" t="inlineStr">
        <is>
          <t>Utah Code §§ 31A-22-305; 31A-22-305.3</t>
        </is>
      </c>
      <c r="D259" s="348" t="inlineStr">
        <is>
          <t>https://le.utah.gov/xcode/Title31A/Chapter22/31A-22-S305.html</t>
        </is>
      </c>
      <c r="E259" s="348" t="inlineStr">
        <is>
          <t>Official / government source</t>
        </is>
      </c>
      <c r="F259" s="348" t="inlineStr">
        <is>
          <t>Low</t>
        </is>
      </c>
    </row>
    <row r="260">
      <c r="A260" s="348" t="inlineStr">
        <is>
          <t>Vermont</t>
        </is>
      </c>
      <c r="B260" s="348" t="inlineStr">
        <is>
          <t>Bad Faith</t>
        </is>
      </c>
      <c r="C260" s="348" t="inlineStr">
        <is>
          <t>Bushey v. Allstate Insurance Co.; Myers v. Ambassador Insurance Co.</t>
        </is>
      </c>
      <c r="D260" s="348" t="inlineStr">
        <is>
          <t>https://www.vermontjudiciary.org</t>
        </is>
      </c>
      <c r="E260" s="348" t="inlineStr">
        <is>
          <t>Verify source type</t>
        </is>
      </c>
      <c r="F260" s="348" t="inlineStr">
        <is>
          <t>Medium</t>
        </is>
      </c>
    </row>
    <row r="261">
      <c r="A261" s="348" t="inlineStr">
        <is>
          <t>Vermont</t>
        </is>
      </c>
      <c r="B261" s="348" t="inlineStr">
        <is>
          <t>Claims Deadlines</t>
        </is>
      </c>
      <c r="C261" s="348" t="inlineStr">
        <is>
          <t>Vt. Admin. Code 21-020-008 §§ 5-7; 8 V.S.A. § 4724(9)</t>
        </is>
      </c>
      <c r="D261" s="348" t="inlineStr">
        <is>
          <t>https://legislature.vermont.gov/statutes/section/08/129/04724; https://www.lexisnexis.com/hottopics/codeofvtrules/</t>
        </is>
      </c>
      <c r="E261" s="348" t="inlineStr">
        <is>
          <t>Official / government source</t>
        </is>
      </c>
      <c r="F261" s="348" t="inlineStr">
        <is>
          <t>Low</t>
        </is>
      </c>
    </row>
    <row r="262">
      <c r="A262" s="348" t="inlineStr">
        <is>
          <t>Vermont</t>
        </is>
      </c>
      <c r="B262" s="348" t="inlineStr">
        <is>
          <t>PIP / No-Fault</t>
        </is>
      </c>
      <c r="C262" s="348" t="inlineStr">
        <is>
          <t>23 V.S.A. § 800</t>
        </is>
      </c>
      <c r="D262" s="348" t="inlineStr">
        <is>
          <t>https://legislature.vermont.gov/statutes/section/23/011/00800</t>
        </is>
      </c>
      <c r="E262" s="348" t="inlineStr">
        <is>
          <t>Official / government source</t>
        </is>
      </c>
      <c r="F262" s="348" t="inlineStr">
        <is>
          <t>Low</t>
        </is>
      </c>
    </row>
    <row r="263">
      <c r="A263" s="348" t="inlineStr">
        <is>
          <t>Vermont</t>
        </is>
      </c>
      <c r="B263" s="348" t="inlineStr">
        <is>
          <t>Policy Disclosure</t>
        </is>
      </c>
      <c r="C263" s="348" t="inlineStr">
        <is>
          <t>Vt. R. Civ. P. 26(b)(2)</t>
        </is>
      </c>
      <c r="D263" s="348" t="inlineStr">
        <is>
          <t>https://www.vermontjudiciary.org/sites/default/files/documents/PROMULGATEDVRCP1_26_34%28b%29_37%28f%29_55%28c%29-DiscoveryRules.pdf</t>
        </is>
      </c>
      <c r="E263" s="348" t="inlineStr">
        <is>
          <t>Verify source type</t>
        </is>
      </c>
      <c r="F263" s="348" t="inlineStr">
        <is>
          <t>Medium</t>
        </is>
      </c>
    </row>
    <row r="264">
      <c r="A264" s="348" t="inlineStr">
        <is>
          <t>Vermont</t>
        </is>
      </c>
      <c r="B264" s="348" t="inlineStr">
        <is>
          <t>UM/UIM Rules</t>
        </is>
      </c>
      <c r="C264" s="348" t="inlineStr">
        <is>
          <t>23 V.S.A. § 941</t>
        </is>
      </c>
      <c r="D264" s="348" t="inlineStr">
        <is>
          <t>https://legislature.vermont.gov/statutes/section/23/011/00941</t>
        </is>
      </c>
      <c r="E264" s="348" t="inlineStr">
        <is>
          <t>Official / government source</t>
        </is>
      </c>
      <c r="F264" s="348" t="inlineStr">
        <is>
          <t>Low</t>
        </is>
      </c>
    </row>
    <row r="265">
      <c r="A265" s="348" t="inlineStr">
        <is>
          <t>Virginia</t>
        </is>
      </c>
      <c r="B265" s="348" t="inlineStr">
        <is>
          <t>Bad Faith</t>
        </is>
      </c>
      <c r="C265" s="348" t="inlineStr">
        <is>
          <t>Va. Code §§ 8.01-66.1, 38.2-209</t>
        </is>
      </c>
      <c r="D265" s="348" t="inlineStr">
        <is>
          <t>https://law.lis.virginia.gov/vacode/title8.01/chapter3/section8.01-66.1/</t>
        </is>
      </c>
      <c r="E265" s="348" t="inlineStr">
        <is>
          <t>Official / government source</t>
        </is>
      </c>
      <c r="F265" s="348" t="inlineStr">
        <is>
          <t>Low</t>
        </is>
      </c>
    </row>
    <row r="266">
      <c r="A266" s="348" t="inlineStr">
        <is>
          <t>Virginia</t>
        </is>
      </c>
      <c r="B266" s="348" t="inlineStr">
        <is>
          <t>Claims Deadlines</t>
        </is>
      </c>
      <c r="C266" s="348" t="inlineStr">
        <is>
          <t>14VAC5-400-50; 14VAC5-400-60; 14VAC5-400-70; Va. Code § 38.2-510(A)(2)-(6)</t>
        </is>
      </c>
      <c r="D266" s="348" t="inlineStr">
        <is>
          <t>https://law.lis.virginia.gov/admincodefull/title14/agency5/chapter400/</t>
        </is>
      </c>
      <c r="E266" s="348" t="inlineStr">
        <is>
          <t>Official / government source</t>
        </is>
      </c>
      <c r="F266" s="348" t="inlineStr">
        <is>
          <t>Low</t>
        </is>
      </c>
    </row>
    <row r="267">
      <c r="A267" s="348" t="inlineStr">
        <is>
          <t>Virginia</t>
        </is>
      </c>
      <c r="B267" s="348" t="inlineStr">
        <is>
          <t>PIP / No-Fault</t>
        </is>
      </c>
      <c r="C267" s="348" t="inlineStr">
        <is>
          <t>Va. Code § 46.2-472</t>
        </is>
      </c>
      <c r="D267" s="348" t="inlineStr">
        <is>
          <t>https://law.lis.virginia.gov/vacode/title46.2/chapter3/section46.2-472/</t>
        </is>
      </c>
      <c r="E267" s="348" t="inlineStr">
        <is>
          <t>Official / government source</t>
        </is>
      </c>
      <c r="F267" s="348" t="inlineStr">
        <is>
          <t>Low</t>
        </is>
      </c>
    </row>
    <row r="268">
      <c r="A268" s="348" t="inlineStr">
        <is>
          <t>Virginia</t>
        </is>
      </c>
      <c r="B268" s="348" t="inlineStr">
        <is>
          <t>Policy Disclosure</t>
        </is>
      </c>
      <c r="C268" s="348" t="inlineStr">
        <is>
          <t>Va. Code § 8.01-417</t>
        </is>
      </c>
      <c r="D268" s="348" t="inlineStr">
        <is>
          <t>https://law.lis.virginia.gov/vacode/title8.01/chapter14/section8.01-417/</t>
        </is>
      </c>
      <c r="E268" s="348" t="inlineStr">
        <is>
          <t>Official / government source</t>
        </is>
      </c>
      <c r="F268" s="348" t="inlineStr">
        <is>
          <t>Low</t>
        </is>
      </c>
    </row>
    <row r="269">
      <c r="A269" s="348" t="inlineStr">
        <is>
          <t>Virginia</t>
        </is>
      </c>
      <c r="B269" s="348" t="inlineStr">
        <is>
          <t>UM/UIM Rules</t>
        </is>
      </c>
      <c r="C269" s="348" t="inlineStr">
        <is>
          <t>Va. Code § 38.2-2206</t>
        </is>
      </c>
      <c r="D269" s="348" t="inlineStr">
        <is>
          <t>https://law.lis.virginia.gov/vacode/title38.2/chapter22/section38.2-2206/</t>
        </is>
      </c>
      <c r="E269" s="348" t="inlineStr">
        <is>
          <t>Official / government source</t>
        </is>
      </c>
      <c r="F269" s="348" t="inlineStr">
        <is>
          <t>Low</t>
        </is>
      </c>
    </row>
    <row r="270">
      <c r="A270" s="348" t="inlineStr">
        <is>
          <t>Washington</t>
        </is>
      </c>
      <c r="B270" s="348" t="inlineStr">
        <is>
          <t>Bad Faith</t>
        </is>
      </c>
      <c r="C270" s="348" t="inlineStr">
        <is>
          <t>RCW 48.30.015; RCW 48.01.030</t>
        </is>
      </c>
      <c r="D270" s="348" t="inlineStr">
        <is>
          <t>https://app.leg.wa.gov/rcw/default.aspx?cite=48.30.015</t>
        </is>
      </c>
      <c r="E270" s="348" t="inlineStr">
        <is>
          <t>Official / government source</t>
        </is>
      </c>
      <c r="F270" s="348" t="inlineStr">
        <is>
          <t>Low</t>
        </is>
      </c>
    </row>
    <row r="271">
      <c r="A271" s="348" t="inlineStr">
        <is>
          <t>Washington</t>
        </is>
      </c>
      <c r="B271" s="348" t="inlineStr">
        <is>
          <t>Claims Deadlines</t>
        </is>
      </c>
      <c r="C271" s="348" t="inlineStr">
        <is>
          <t>WAC 284-30-360; WAC 284-30-370; WAC 284-30-380</t>
        </is>
      </c>
      <c r="D271" s="348" t="inlineStr">
        <is>
          <t>https://app.leg.wa.gov/WAC/default.aspx?cite=284-30-360</t>
        </is>
      </c>
      <c r="E271" s="348" t="inlineStr">
        <is>
          <t>Official / government source</t>
        </is>
      </c>
      <c r="F271" s="348" t="inlineStr">
        <is>
          <t>Low</t>
        </is>
      </c>
    </row>
    <row r="272">
      <c r="A272" s="348" t="inlineStr">
        <is>
          <t>Washington</t>
        </is>
      </c>
      <c r="B272" s="348" t="inlineStr">
        <is>
          <t>PIP / No-Fault</t>
        </is>
      </c>
      <c r="C272" s="348" t="inlineStr">
        <is>
          <t>RCW §§ 48.22.095; 48.22.100</t>
        </is>
      </c>
      <c r="D272" s="348" t="inlineStr">
        <is>
          <t>https://app.leg.wa.gov/rcw/default.aspx?cite=48.22.095</t>
        </is>
      </c>
      <c r="E272" s="348" t="inlineStr">
        <is>
          <t>Official / government source</t>
        </is>
      </c>
      <c r="F272" s="348" t="inlineStr">
        <is>
          <t>Low</t>
        </is>
      </c>
    </row>
    <row r="273">
      <c r="A273" s="348" t="inlineStr">
        <is>
          <t>Washington</t>
        </is>
      </c>
      <c r="B273" s="348" t="inlineStr">
        <is>
          <t>Policy Disclosure</t>
        </is>
      </c>
      <c r="C273" s="348" t="inlineStr">
        <is>
          <t>Wash. CR 26(b)(2)</t>
        </is>
      </c>
      <c r="D273" s="348" t="inlineStr">
        <is>
          <t>https://www.courts.wa.gov/court_rules/?fa=court_rules.display&amp;group=sup&amp;ruleid=supcr26&amp;set=cr</t>
        </is>
      </c>
      <c r="E273" s="348" t="inlineStr">
        <is>
          <t>Official / government source</t>
        </is>
      </c>
      <c r="F273" s="348" t="inlineStr">
        <is>
          <t>Low</t>
        </is>
      </c>
    </row>
    <row r="274">
      <c r="A274" s="348" t="inlineStr">
        <is>
          <t>Washington</t>
        </is>
      </c>
      <c r="B274" s="348" t="inlineStr">
        <is>
          <t>UM/UIM Rules</t>
        </is>
      </c>
      <c r="C274" s="348" t="inlineStr">
        <is>
          <t>RCW § 48.22.030</t>
        </is>
      </c>
      <c r="D274" s="348" t="inlineStr">
        <is>
          <t>https://app.leg.wa.gov/rcw/default.aspx?cite=48.22.030</t>
        </is>
      </c>
      <c r="E274" s="348" t="inlineStr">
        <is>
          <t>Official / government source</t>
        </is>
      </c>
      <c r="F274" s="348" t="inlineStr">
        <is>
          <t>Low</t>
        </is>
      </c>
    </row>
    <row r="275">
      <c r="A275" s="348" t="inlineStr">
        <is>
          <t>West Virginia</t>
        </is>
      </c>
      <c r="B275" s="348" t="inlineStr">
        <is>
          <t>Bad Faith</t>
        </is>
      </c>
      <c r="C275" s="348" t="inlineStr">
        <is>
          <t>W. Va. Code § 33-11-4a; Jenkins v. J.C. Penney Casualty Ins. Co.</t>
        </is>
      </c>
      <c r="D275" s="348" t="inlineStr">
        <is>
          <t>https://code.wvlegislature.gov/33-11-4A/</t>
        </is>
      </c>
      <c r="E275" s="348" t="inlineStr">
        <is>
          <t>Official / government source</t>
        </is>
      </c>
      <c r="F275" s="348" t="inlineStr">
        <is>
          <t>Low</t>
        </is>
      </c>
    </row>
    <row r="276">
      <c r="A276" s="348" t="inlineStr">
        <is>
          <t>West Virginia</t>
        </is>
      </c>
      <c r="B276" s="348" t="inlineStr">
        <is>
          <t>Claims Deadlines</t>
        </is>
      </c>
      <c r="C276" s="348" t="inlineStr">
        <is>
          <t>W. Va. Code R. §§ 114-14-5, 114-14-6</t>
        </is>
      </c>
      <c r="D276" s="348" t="inlineStr">
        <is>
          <t>https://www.wvinsurance.gov/LinkClick.aspx?fileticket=HeCI8XRvGoM%3D&amp;mid=886&amp;portalid=0&amp;tabid=329</t>
        </is>
      </c>
      <c r="E276" s="348" t="inlineStr">
        <is>
          <t>Official / government source</t>
        </is>
      </c>
      <c r="F276" s="348" t="inlineStr">
        <is>
          <t>Low</t>
        </is>
      </c>
    </row>
    <row r="277">
      <c r="A277" s="348" t="inlineStr">
        <is>
          <t>West Virginia</t>
        </is>
      </c>
      <c r="B277" s="348" t="inlineStr">
        <is>
          <t>PIP / No-Fault</t>
        </is>
      </c>
      <c r="C277" s="348" t="inlineStr">
        <is>
          <t>W. Va. Code § 17D-4-2</t>
        </is>
      </c>
      <c r="D277" s="348" t="inlineStr">
        <is>
          <t>https://code.wvlegislature.gov/17D-4-2/</t>
        </is>
      </c>
      <c r="E277" s="348" t="inlineStr">
        <is>
          <t>Official / government source</t>
        </is>
      </c>
      <c r="F277" s="348" t="inlineStr">
        <is>
          <t>Low</t>
        </is>
      </c>
    </row>
    <row r="278">
      <c r="A278" s="348" t="inlineStr">
        <is>
          <t>West Virginia</t>
        </is>
      </c>
      <c r="B278" s="348" t="inlineStr">
        <is>
          <t>Policy Disclosure</t>
        </is>
      </c>
      <c r="C278" s="348" t="inlineStr">
        <is>
          <t>W. Va. Code § 33-6F-2</t>
        </is>
      </c>
      <c r="D278" s="348" t="inlineStr">
        <is>
          <t>https://code.wvlegislature.gov/33-6F-2/</t>
        </is>
      </c>
      <c r="E278" s="348" t="inlineStr">
        <is>
          <t>Official / government source</t>
        </is>
      </c>
      <c r="F278" s="348" t="inlineStr">
        <is>
          <t>Low</t>
        </is>
      </c>
    </row>
    <row r="279">
      <c r="A279" s="348" t="inlineStr">
        <is>
          <t>West Virginia</t>
        </is>
      </c>
      <c r="B279" s="348" t="inlineStr">
        <is>
          <t>UM/UIM Rules</t>
        </is>
      </c>
      <c r="C279" s="348" t="inlineStr">
        <is>
          <t>W. Va. Code §§ 33-6-31; 33-6-31d</t>
        </is>
      </c>
      <c r="D279" s="348" t="inlineStr">
        <is>
          <t>https://code.wvlegislature.gov/33-6-31/</t>
        </is>
      </c>
      <c r="E279" s="348" t="inlineStr">
        <is>
          <t>Official / government source</t>
        </is>
      </c>
      <c r="F279" s="348" t="inlineStr">
        <is>
          <t>Low</t>
        </is>
      </c>
    </row>
    <row r="280">
      <c r="A280" s="348" t="inlineStr">
        <is>
          <t>Wisconsin</t>
        </is>
      </c>
      <c r="B280" s="348" t="inlineStr">
        <is>
          <t>Bad Faith</t>
        </is>
      </c>
      <c r="C280" s="348" t="inlineStr">
        <is>
          <t>Anderson v. Continental Ins. Co.; Wis. Stat. § 628.46</t>
        </is>
      </c>
      <c r="D280" s="348" t="inlineStr">
        <is>
          <t>https://docs.legis.wisconsin.gov/statutes/statutes/628/46</t>
        </is>
      </c>
      <c r="E280" s="348" t="inlineStr">
        <is>
          <t>Official / government source</t>
        </is>
      </c>
      <c r="F280" s="348" t="inlineStr">
        <is>
          <t>Low</t>
        </is>
      </c>
    </row>
    <row r="281">
      <c r="A281" s="348" t="inlineStr">
        <is>
          <t>Wisconsin</t>
        </is>
      </c>
      <c r="B281" s="348" t="inlineStr">
        <is>
          <t>Claims Deadlines</t>
        </is>
      </c>
      <c r="C281" s="348" t="inlineStr">
        <is>
          <t>Wis. Admin. Code Ins § 6.11; Wis. Stat. § 628.46</t>
        </is>
      </c>
      <c r="D281" s="348" t="inlineStr">
        <is>
          <t>https://docs.legis.wisconsin.gov/code/admin_code/ins/6/11</t>
        </is>
      </c>
      <c r="E281" s="348" t="inlineStr">
        <is>
          <t>Official / government source</t>
        </is>
      </c>
      <c r="F281" s="348" t="inlineStr">
        <is>
          <t>Low</t>
        </is>
      </c>
    </row>
    <row r="282">
      <c r="A282" s="348" t="inlineStr">
        <is>
          <t>Wisconsin</t>
        </is>
      </c>
      <c r="B282" s="348" t="inlineStr">
        <is>
          <t>PIP / No-Fault</t>
        </is>
      </c>
      <c r="C282" s="348" t="inlineStr">
        <is>
          <t>Wis. Stat. § 344.62</t>
        </is>
      </c>
      <c r="D282" s="348" t="inlineStr">
        <is>
          <t>https://docs.legis.wisconsin.gov/statutes/statutes/344/vi/62</t>
        </is>
      </c>
      <c r="E282" s="348" t="inlineStr">
        <is>
          <t>Official / government source</t>
        </is>
      </c>
      <c r="F282" s="348" t="inlineStr">
        <is>
          <t>Low</t>
        </is>
      </c>
    </row>
    <row r="283">
      <c r="A283" s="348" t="inlineStr">
        <is>
          <t>Wisconsin</t>
        </is>
      </c>
      <c r="B283" s="348" t="inlineStr">
        <is>
          <t>Policy Disclosure</t>
        </is>
      </c>
      <c r="C283" s="348" t="inlineStr">
        <is>
          <t>Wis. Stat. § 804.01(2)(b)</t>
        </is>
      </c>
      <c r="D283" s="348" t="inlineStr">
        <is>
          <t>https://docs.legis.wisconsin.gov/document/statutes/804.01%282%29%28b%29</t>
        </is>
      </c>
      <c r="E283" s="348" t="inlineStr">
        <is>
          <t>Official / government source</t>
        </is>
      </c>
      <c r="F283" s="348" t="inlineStr">
        <is>
          <t>Low</t>
        </is>
      </c>
    </row>
    <row r="284">
      <c r="A284" s="348" t="inlineStr">
        <is>
          <t>Wisconsin</t>
        </is>
      </c>
      <c r="B284" s="348" t="inlineStr">
        <is>
          <t>UM/UIM Rules</t>
        </is>
      </c>
      <c r="C284" s="348" t="inlineStr">
        <is>
          <t>Wis. Stat. § 632.32</t>
        </is>
      </c>
      <c r="D284" s="348" t="inlineStr">
        <is>
          <t>https://docs.legis.wisconsin.gov/document/statutes/632.32</t>
        </is>
      </c>
      <c r="E284" s="348" t="inlineStr">
        <is>
          <t>Official / government source</t>
        </is>
      </c>
      <c r="F284" s="348" t="inlineStr">
        <is>
          <t>Low</t>
        </is>
      </c>
    </row>
    <row r="285">
      <c r="A285" s="348" t="inlineStr">
        <is>
          <t>Wyoming</t>
        </is>
      </c>
      <c r="B285" s="348" t="inlineStr">
        <is>
          <t>Bad Faith</t>
        </is>
      </c>
      <c r="C285" s="348" t="inlineStr">
        <is>
          <t>Herrig v. Herrig</t>
        </is>
      </c>
      <c r="D285" s="348" t="inlineStr">
        <is>
          <t>https://law.justia.com/cases/wyoming/supreme-court/1992/122987.html</t>
        </is>
      </c>
      <c r="E285" s="348" t="inlineStr">
        <is>
          <t>Non-government / secondary source</t>
        </is>
      </c>
      <c r="F285" s="348" t="inlineStr">
        <is>
          <t>Medium</t>
        </is>
      </c>
    </row>
    <row r="286">
      <c r="A286" s="348" t="inlineStr">
        <is>
          <t>Wyoming</t>
        </is>
      </c>
      <c r="B286" s="348" t="inlineStr">
        <is>
          <t>Claims Deadlines</t>
        </is>
      </c>
      <c r="C286" s="348" t="inlineStr">
        <is>
          <t>Wyo. Stat. Ann. § 26-13-124(a)(ii)-(vi)</t>
        </is>
      </c>
      <c r="D286" s="348" t="inlineStr">
        <is>
          <t>https://wyoleg.gov/statutes/compress/title26.pdf</t>
        </is>
      </c>
      <c r="E286" s="348" t="inlineStr">
        <is>
          <t>Official / government source</t>
        </is>
      </c>
      <c r="F286" s="348" t="inlineStr">
        <is>
          <t>Low</t>
        </is>
      </c>
    </row>
    <row r="287">
      <c r="A287" s="348" t="inlineStr">
        <is>
          <t>Wyoming</t>
        </is>
      </c>
      <c r="B287" s="348" t="inlineStr">
        <is>
          <t>PIP / No-Fault</t>
        </is>
      </c>
      <c r="C287" s="348" t="inlineStr">
        <is>
          <t>Wyo. Stat. § 31-9-405</t>
        </is>
      </c>
      <c r="D287" s="348" t="inlineStr">
        <is>
          <t>https://wyoleg.gov/statutes/compress/title31.pdf</t>
        </is>
      </c>
      <c r="E287" s="348" t="inlineStr">
        <is>
          <t>Official / government source</t>
        </is>
      </c>
      <c r="F287" s="348" t="inlineStr">
        <is>
          <t>Low</t>
        </is>
      </c>
    </row>
    <row r="288">
      <c r="A288" s="348" t="inlineStr">
        <is>
          <t>Wyoming</t>
        </is>
      </c>
      <c r="B288" s="348" t="inlineStr">
        <is>
          <t>Policy Disclosure</t>
        </is>
      </c>
      <c r="C288" s="348" t="inlineStr">
        <is>
          <t>Wyo. R. Civ. P. 26(a)(1)(A)(iv)</t>
        </is>
      </c>
      <c r="D288" s="348" t="inlineStr">
        <is>
          <t>https://www.wyocourts.gov/app/uploads/2025/01/Wyoming-Rules-of-Civil-Procedure-August-2024.pdf</t>
        </is>
      </c>
      <c r="E288" s="348" t="inlineStr">
        <is>
          <t>Official / government source</t>
        </is>
      </c>
      <c r="F288" s="348" t="inlineStr">
        <is>
          <t>Low</t>
        </is>
      </c>
    </row>
    <row r="289">
      <c r="A289" s="348" t="inlineStr">
        <is>
          <t>Wyoming</t>
        </is>
      </c>
      <c r="B289" s="348" t="inlineStr">
        <is>
          <t>UM/UIM Rules</t>
        </is>
      </c>
      <c r="C289" s="348" t="inlineStr">
        <is>
          <t>Wyo. Stat. § 31-10-101</t>
        </is>
      </c>
      <c r="D289" s="348" t="inlineStr">
        <is>
          <t>https://law.justia.com/codes/wyoming/title-31/chapter-10/section-31-10-101/</t>
        </is>
      </c>
      <c r="E289" s="348" t="inlineStr">
        <is>
          <t>Non-government / secondary source</t>
        </is>
      </c>
      <c r="F289" s="348" t="inlineStr">
        <is>
          <t>Medium</t>
        </is>
      </c>
    </row>
    <row r="290">
      <c r="A290" s="348" t="n"/>
      <c r="B290" s="348" t="n"/>
      <c r="C290" s="348" t="n"/>
      <c r="D290" s="348" t="n"/>
      <c r="E290" s="348" t="n"/>
      <c r="F290" s="348" t="n"/>
    </row>
    <row r="291">
      <c r="A291" s="348" t="n"/>
      <c r="B291" s="348" t="n"/>
      <c r="C291" s="348" t="n"/>
      <c r="D291" s="348" t="n"/>
      <c r="E291" s="348" t="n"/>
      <c r="F291" s="348" t="n"/>
    </row>
    <row r="292">
      <c r="A292" s="348" t="n"/>
      <c r="B292" s="348" t="n"/>
      <c r="C292" s="348" t="n"/>
      <c r="D292" s="348" t="n"/>
      <c r="E292" s="348" t="n"/>
      <c r="F292" s="348" t="n"/>
    </row>
    <row r="293">
      <c r="A293" s="348" t="n"/>
      <c r="B293" s="348" t="n"/>
      <c r="C293" s="348" t="n"/>
      <c r="D293" s="348" t="n"/>
      <c r="E293" s="348" t="n"/>
      <c r="F293" s="348" t="n"/>
    </row>
    <row r="294">
      <c r="A294" s="348" t="n"/>
      <c r="B294" s="348" t="n"/>
      <c r="C294" s="348" t="n"/>
      <c r="D294" s="348" t="n"/>
      <c r="E294" s="348" t="n"/>
      <c r="F294" s="348" t="n"/>
    </row>
    <row r="295">
      <c r="A295" s="348" t="n"/>
      <c r="B295" s="348" t="n"/>
      <c r="C295" s="348" t="n"/>
      <c r="D295" s="348" t="n"/>
      <c r="E295" s="348" t="n"/>
      <c r="F295" s="348" t="n"/>
    </row>
    <row r="296">
      <c r="A296" s="348" t="n"/>
      <c r="B296" s="348" t="n"/>
      <c r="C296" s="348" t="n"/>
      <c r="D296" s="348" t="n"/>
      <c r="E296" s="348" t="n"/>
      <c r="F296" s="348" t="n"/>
    </row>
    <row r="297">
      <c r="A297" s="348" t="n"/>
      <c r="B297" s="348" t="n"/>
      <c r="C297" s="348" t="n"/>
      <c r="D297" s="348" t="n"/>
      <c r="E297" s="348" t="n"/>
      <c r="F297" s="348" t="n"/>
    </row>
    <row r="298">
      <c r="A298" s="348" t="n"/>
      <c r="B298" s="348" t="n"/>
      <c r="C298" s="348" t="n"/>
      <c r="D298" s="348" t="n"/>
      <c r="E298" s="348" t="n"/>
      <c r="F298" s="348" t="n"/>
    </row>
    <row r="299">
      <c r="A299" s="348" t="n"/>
      <c r="B299" s="348" t="n"/>
      <c r="C299" s="348" t="n"/>
      <c r="D299" s="348" t="n"/>
      <c r="E299" s="348" t="n"/>
      <c r="F299" s="348" t="n"/>
    </row>
    <row r="300">
      <c r="A300" s="348" t="n"/>
      <c r="B300" s="348" t="n"/>
      <c r="C300" s="348" t="n"/>
      <c r="D300" s="348" t="n"/>
      <c r="E300" s="348" t="n"/>
      <c r="F300" s="348" t="n"/>
    </row>
    <row r="301">
      <c r="A301" s="348" t="n"/>
      <c r="B301" s="348" t="n"/>
      <c r="C301" s="348" t="n"/>
      <c r="D301" s="348" t="n"/>
      <c r="E301" s="348" t="n"/>
      <c r="F301" s="348" t="n"/>
    </row>
    <row r="302">
      <c r="A302" s="348" t="n"/>
      <c r="B302" s="348" t="n"/>
      <c r="C302" s="348" t="n"/>
      <c r="D302" s="348" t="n"/>
      <c r="E302" s="348" t="n"/>
      <c r="F302" s="348" t="n"/>
    </row>
    <row r="303">
      <c r="A303" s="348" t="n"/>
      <c r="B303" s="348" t="n"/>
      <c r="C303" s="348" t="n"/>
      <c r="D303" s="348" t="n"/>
      <c r="E303" s="348" t="n"/>
      <c r="F303" s="348" t="n"/>
    </row>
    <row r="304">
      <c r="A304" s="348" t="n"/>
      <c r="B304" s="348" t="n"/>
      <c r="C304" s="348" t="n"/>
      <c r="D304" s="348" t="n"/>
      <c r="E304" s="348" t="n"/>
      <c r="F304" s="348" t="n"/>
    </row>
    <row r="305">
      <c r="A305" s="348" t="n"/>
      <c r="B305" s="348" t="n"/>
      <c r="C305" s="348" t="n"/>
      <c r="D305" s="348" t="n"/>
      <c r="E305" s="348" t="n"/>
      <c r="F305" s="348" t="n"/>
    </row>
    <row r="306">
      <c r="A306" s="348" t="n"/>
      <c r="B306" s="348" t="n"/>
      <c r="C306" s="348" t="n"/>
      <c r="D306" s="348" t="n"/>
      <c r="E306" s="348" t="n"/>
      <c r="F306" s="348" t="n"/>
    </row>
    <row r="307">
      <c r="A307" s="348" t="n"/>
      <c r="B307" s="348" t="n"/>
      <c r="C307" s="348" t="n"/>
      <c r="D307" s="348" t="n"/>
      <c r="E307" s="348" t="n"/>
      <c r="F307" s="348" t="n"/>
    </row>
    <row r="308">
      <c r="A308" s="348" t="n"/>
      <c r="B308" s="348" t="n"/>
      <c r="C308" s="348" t="n"/>
      <c r="D308" s="348" t="n"/>
      <c r="E308" s="348" t="n"/>
      <c r="F308" s="348" t="n"/>
    </row>
    <row r="309">
      <c r="A309" s="348" t="n"/>
      <c r="B309" s="348" t="n"/>
      <c r="C309" s="348" t="n"/>
      <c r="D309" s="348" t="n"/>
      <c r="E309" s="348" t="n"/>
      <c r="F309" s="348" t="n"/>
    </row>
    <row r="310">
      <c r="A310" s="348" t="n"/>
      <c r="B310" s="348" t="n"/>
      <c r="C310" s="348" t="n"/>
      <c r="D310" s="348" t="n"/>
      <c r="E310" s="348" t="n"/>
      <c r="F310" s="348" t="n"/>
    </row>
    <row r="311">
      <c r="A311" s="348" t="n"/>
      <c r="B311" s="348" t="n"/>
      <c r="C311" s="348" t="n"/>
      <c r="D311" s="348" t="n"/>
      <c r="E311" s="348" t="n"/>
      <c r="F311" s="348" t="n"/>
    </row>
    <row r="312">
      <c r="A312" s="348" t="n"/>
      <c r="B312" s="348" t="n"/>
      <c r="C312" s="348" t="n"/>
      <c r="D312" s="348" t="n"/>
      <c r="E312" s="348" t="n"/>
      <c r="F312" s="348" t="n"/>
    </row>
    <row r="313">
      <c r="A313" s="348" t="n"/>
      <c r="B313" s="348" t="n"/>
      <c r="C313" s="348" t="n"/>
      <c r="D313" s="348" t="n"/>
      <c r="E313" s="348" t="n"/>
      <c r="F313" s="348" t="n"/>
    </row>
    <row r="314">
      <c r="A314" s="348" t="n"/>
      <c r="B314" s="348" t="n"/>
      <c r="C314" s="348" t="n"/>
      <c r="D314" s="348" t="n"/>
      <c r="E314" s="348" t="n"/>
      <c r="F314" s="348" t="n"/>
    </row>
    <row r="315">
      <c r="A315" s="348" t="n"/>
      <c r="B315" s="348" t="n"/>
      <c r="C315" s="348" t="n"/>
      <c r="D315" s="348" t="n"/>
      <c r="E315" s="348" t="n"/>
      <c r="F315" s="348" t="n"/>
    </row>
    <row r="316">
      <c r="A316" s="348" t="n"/>
      <c r="B316" s="348" t="n"/>
      <c r="C316" s="348" t="n"/>
      <c r="D316" s="348" t="n"/>
      <c r="E316" s="348" t="n"/>
      <c r="F316" s="348" t="n"/>
    </row>
    <row r="317">
      <c r="A317" s="348" t="n"/>
      <c r="B317" s="348" t="n"/>
      <c r="C317" s="348" t="n"/>
      <c r="D317" s="348" t="n"/>
      <c r="E317" s="348" t="n"/>
      <c r="F317" s="348" t="n"/>
    </row>
    <row r="318">
      <c r="A318" s="348" t="n"/>
      <c r="B318" s="348" t="n"/>
      <c r="C318" s="348" t="n"/>
      <c r="D318" s="348" t="n"/>
      <c r="E318" s="348" t="n"/>
      <c r="F318" s="348" t="n"/>
    </row>
    <row r="319">
      <c r="A319" s="348" t="n"/>
      <c r="B319" s="348" t="n"/>
      <c r="C319" s="348" t="n"/>
      <c r="D319" s="348" t="n"/>
      <c r="E319" s="348" t="n"/>
      <c r="F319" s="348" t="n"/>
    </row>
    <row r="320">
      <c r="A320" s="348" t="n"/>
      <c r="B320" s="348" t="n"/>
      <c r="C320" s="348" t="n"/>
      <c r="D320" s="348" t="n"/>
      <c r="E320" s="348" t="n"/>
      <c r="F320" s="348" t="n"/>
    </row>
    <row r="321">
      <c r="A321" s="348" t="n"/>
      <c r="B321" s="348" t="n"/>
      <c r="C321" s="348" t="n"/>
      <c r="D321" s="348" t="n"/>
      <c r="E321" s="348" t="n"/>
      <c r="F321" s="348" t="n"/>
    </row>
    <row r="322">
      <c r="A322" s="348" t="n"/>
      <c r="B322" s="348" t="n"/>
      <c r="C322" s="348" t="n"/>
      <c r="D322" s="348" t="n"/>
      <c r="E322" s="348" t="n"/>
      <c r="F322" s="348" t="n"/>
    </row>
    <row r="323">
      <c r="A323" s="348" t="n"/>
      <c r="B323" s="348" t="n"/>
      <c r="C323" s="348" t="n"/>
      <c r="D323" s="348" t="n"/>
      <c r="E323" s="348" t="n"/>
      <c r="F323" s="348" t="n"/>
    </row>
    <row r="324">
      <c r="A324" s="348" t="n"/>
      <c r="B324" s="348" t="n"/>
      <c r="C324" s="348" t="n"/>
      <c r="D324" s="348" t="n"/>
      <c r="E324" s="348" t="n"/>
      <c r="F324" s="348" t="n"/>
    </row>
    <row r="325">
      <c r="A325" s="348" t="n"/>
      <c r="B325" s="348" t="n"/>
      <c r="C325" s="348" t="n"/>
      <c r="D325" s="348" t="n"/>
      <c r="E325" s="348" t="n"/>
      <c r="F325" s="348" t="n"/>
    </row>
    <row r="326">
      <c r="A326" s="348" t="n"/>
      <c r="B326" s="348" t="n"/>
      <c r="C326" s="348" t="n"/>
      <c r="D326" s="348" t="n"/>
      <c r="E326" s="348" t="n"/>
      <c r="F326" s="348" t="n"/>
    </row>
    <row r="327">
      <c r="A327" s="348" t="n"/>
      <c r="B327" s="348" t="n"/>
      <c r="C327" s="348" t="n"/>
      <c r="D327" s="348" t="n"/>
      <c r="E327" s="348" t="n"/>
      <c r="F327" s="348" t="n"/>
    </row>
    <row r="328">
      <c r="A328" s="348" t="n"/>
      <c r="B328" s="348" t="n"/>
      <c r="C328" s="348" t="n"/>
      <c r="D328" s="348" t="n"/>
      <c r="E328" s="348" t="n"/>
      <c r="F328" s="348" t="n"/>
    </row>
    <row r="329">
      <c r="A329" s="348" t="n"/>
      <c r="B329" s="348" t="n"/>
      <c r="C329" s="348" t="n"/>
      <c r="D329" s="348" t="n"/>
      <c r="E329" s="348" t="n"/>
      <c r="F329" s="348" t="n"/>
    </row>
    <row r="330">
      <c r="A330" s="348" t="n"/>
      <c r="B330" s="348" t="n"/>
      <c r="C330" s="348" t="n"/>
      <c r="D330" s="348" t="n"/>
      <c r="E330" s="348" t="n"/>
      <c r="F330" s="34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style="355" min="1" max="1"/>
    <col width="22" customWidth="1" style="355" min="2" max="2"/>
    <col width="22" customWidth="1" style="355" min="3" max="3"/>
    <col width="22" customWidth="1" style="355" min="4" max="4"/>
    <col width="22" customWidth="1" style="355" min="5" max="5"/>
    <col width="22" customWidth="1" style="355" min="6" max="6"/>
    <col width="22" customWidth="1" style="355" min="7" max="7"/>
    <col width="22" customWidth="1" style="355" min="8" max="8"/>
    <col width="22" customWidth="1" style="355" min="9" max="9"/>
  </cols>
  <sheetData>
    <row r="1">
      <c r="A1" s="454" t="inlineStr">
        <is>
          <t>Dataset</t>
        </is>
      </c>
      <c r="B1" s="454" t="inlineStr">
        <is>
          <t>Source Count</t>
        </is>
      </c>
      <c r="C1" s="454" t="inlineStr">
        <is>
          <t>Official/Gov Source Count</t>
        </is>
      </c>
      <c r="D1" s="454" t="inlineStr">
        <is>
          <t>Secondary Source Count</t>
        </is>
      </c>
      <c r="E1" s="454" t="inlineStr">
        <is>
          <t>Verify Source Type Count</t>
        </is>
      </c>
      <c r="F1" s="454" t="inlineStr">
        <is>
          <t>Last Verified</t>
        </is>
      </c>
      <c r="G1" s="454" t="inlineStr">
        <is>
          <t>Next Review</t>
        </is>
      </c>
      <c r="H1" s="454" t="inlineStr">
        <is>
          <t>Review Cadence</t>
        </is>
      </c>
      <c r="I1" s="454" t="inlineStr">
        <is>
          <t>Status</t>
        </is>
      </c>
    </row>
    <row r="2">
      <c r="A2" s="348" t="inlineStr">
        <is>
          <t>Bad Faith</t>
        </is>
      </c>
      <c r="B2" s="348" t="n">
        <v>49</v>
      </c>
      <c r="C2" s="348" t="n">
        <v>27</v>
      </c>
      <c r="D2" s="348" t="n">
        <v>20</v>
      </c>
      <c r="E2" s="348" t="n">
        <v>2</v>
      </c>
      <c r="F2" s="348" t="inlineStr">
        <is>
          <t>2026-06-07</t>
        </is>
      </c>
      <c r="G2" s="348" t="inlineStr">
        <is>
          <t>2027-06-07</t>
        </is>
      </c>
      <c r="H2" s="348" t="inlineStr">
        <is>
          <t>Annual; sooner after statutory/regulatory changes</t>
        </is>
      </c>
      <c r="I2" s="348" t="inlineStr">
        <is>
          <t>Active</t>
        </is>
      </c>
    </row>
    <row r="3">
      <c r="A3" s="348" t="inlineStr">
        <is>
          <t>Claims Deadlines</t>
        </is>
      </c>
      <c r="B3" s="348" t="n">
        <v>50</v>
      </c>
      <c r="C3" s="348" t="n">
        <v>49</v>
      </c>
      <c r="D3" s="348" t="n">
        <v>1</v>
      </c>
      <c r="E3" s="348" t="n">
        <v>0</v>
      </c>
      <c r="F3" s="348" t="inlineStr">
        <is>
          <t>2026-06-07</t>
        </is>
      </c>
      <c r="G3" s="348" t="inlineStr">
        <is>
          <t>2027-06-07</t>
        </is>
      </c>
      <c r="H3" s="348" t="inlineStr">
        <is>
          <t>Annual; sooner after statutory/regulatory changes</t>
        </is>
      </c>
      <c r="I3" s="348" t="inlineStr">
        <is>
          <t>Active</t>
        </is>
      </c>
    </row>
    <row r="4">
      <c r="A4" s="348" t="inlineStr">
        <is>
          <t>Comparative Negligence</t>
        </is>
      </c>
      <c r="B4" s="348" t="n">
        <v>40</v>
      </c>
      <c r="C4" s="348" t="n">
        <v>31</v>
      </c>
      <c r="D4" s="348" t="n">
        <v>8</v>
      </c>
      <c r="E4" s="348" t="n">
        <v>1</v>
      </c>
      <c r="F4" s="348" t="inlineStr">
        <is>
          <t>2026-06-07</t>
        </is>
      </c>
      <c r="G4" s="348" t="inlineStr">
        <is>
          <t>2027-06-07</t>
        </is>
      </c>
      <c r="H4" s="348" t="inlineStr">
        <is>
          <t>Annual; sooner after statutory/regulatory changes</t>
        </is>
      </c>
      <c r="I4" s="348" t="inlineStr">
        <is>
          <t>Active</t>
        </is>
      </c>
    </row>
    <row r="5">
      <c r="A5" s="348" t="inlineStr">
        <is>
          <t>PIP / No-Fault</t>
        </is>
      </c>
      <c r="B5" s="348" t="n">
        <v>50</v>
      </c>
      <c r="C5" s="348" t="n">
        <v>46</v>
      </c>
      <c r="D5" s="348" t="n">
        <v>2</v>
      </c>
      <c r="E5" s="348" t="n">
        <v>2</v>
      </c>
      <c r="F5" s="348" t="inlineStr">
        <is>
          <t>2026-06-07</t>
        </is>
      </c>
      <c r="G5" s="348" t="inlineStr">
        <is>
          <t>2027-06-07</t>
        </is>
      </c>
      <c r="H5" s="348" t="inlineStr">
        <is>
          <t>Annual; sooner after statutory/regulatory changes</t>
        </is>
      </c>
      <c r="I5" s="348" t="inlineStr">
        <is>
          <t>Active</t>
        </is>
      </c>
    </row>
    <row r="6">
      <c r="A6" s="348" t="inlineStr">
        <is>
          <t>Policy Disclosure</t>
        </is>
      </c>
      <c r="B6" s="348" t="n">
        <v>50</v>
      </c>
      <c r="C6" s="348" t="n">
        <v>45</v>
      </c>
      <c r="D6" s="348" t="n">
        <v>2</v>
      </c>
      <c r="E6" s="348" t="n">
        <v>3</v>
      </c>
      <c r="F6" s="348" t="inlineStr">
        <is>
          <t>2026-06-07</t>
        </is>
      </c>
      <c r="G6" s="348" t="inlineStr">
        <is>
          <t>2027-06-07</t>
        </is>
      </c>
      <c r="H6" s="348" t="inlineStr">
        <is>
          <t>Annual; sooner after statutory/regulatory changes</t>
        </is>
      </c>
      <c r="I6" s="348" t="inlineStr">
        <is>
          <t>Active</t>
        </is>
      </c>
    </row>
    <row r="7">
      <c r="A7" s="348" t="inlineStr">
        <is>
          <t>UM/UIM Rules</t>
        </is>
      </c>
      <c r="B7" s="348" t="n">
        <v>49</v>
      </c>
      <c r="C7" s="348" t="n">
        <v>43</v>
      </c>
      <c r="D7" s="348" t="n">
        <v>5</v>
      </c>
      <c r="E7" s="348" t="n">
        <v>1</v>
      </c>
      <c r="F7" s="348" t="inlineStr">
        <is>
          <t>2026-06-07</t>
        </is>
      </c>
      <c r="G7" s="348" t="inlineStr">
        <is>
          <t>2027-06-07</t>
        </is>
      </c>
      <c r="H7" s="348" t="inlineStr">
        <is>
          <t>Annual; sooner after statutory/regulatory changes</t>
        </is>
      </c>
      <c r="I7" s="348" t="inlineStr">
        <is>
          <t>Active</t>
        </is>
      </c>
    </row>
    <row r="8">
      <c r="A8" s="348" t="n"/>
      <c r="B8" s="348" t="n"/>
      <c r="C8" s="348" t="n"/>
      <c r="D8" s="348" t="n"/>
      <c r="E8" s="348" t="n"/>
      <c r="F8" s="348" t="n"/>
      <c r="G8" s="348" t="n"/>
      <c r="H8" s="348" t="n"/>
      <c r="I8" s="348" t="n"/>
    </row>
    <row r="9">
      <c r="A9" s="348" t="n"/>
      <c r="B9" s="348" t="n"/>
      <c r="C9" s="348" t="n"/>
      <c r="D9" s="348" t="n"/>
      <c r="E9" s="348" t="n"/>
      <c r="F9" s="348" t="n"/>
      <c r="G9" s="348" t="n"/>
      <c r="H9" s="348" t="n"/>
      <c r="I9" s="348" t="n"/>
    </row>
    <row r="10">
      <c r="A10" s="348" t="n"/>
      <c r="B10" s="348" t="n"/>
      <c r="C10" s="348" t="n"/>
      <c r="D10" s="348" t="n"/>
      <c r="E10" s="348" t="n"/>
      <c r="F10" s="348" t="n"/>
      <c r="G10" s="348" t="n"/>
      <c r="H10" s="348" t="n"/>
      <c r="I10" s="348" t="n"/>
    </row>
    <row r="11">
      <c r="A11" s="348" t="n"/>
      <c r="B11" s="348" t="n"/>
      <c r="C11" s="348" t="n"/>
      <c r="D11" s="348" t="n"/>
      <c r="E11" s="348" t="n"/>
      <c r="F11" s="348" t="n"/>
      <c r="G11" s="348" t="n"/>
      <c r="H11" s="348" t="n"/>
      <c r="I11" s="348" t="n"/>
    </row>
    <row r="12">
      <c r="A12" s="348" t="n"/>
      <c r="B12" s="348" t="n"/>
      <c r="C12" s="348" t="n"/>
      <c r="D12" s="348" t="n"/>
      <c r="E12" s="348" t="n"/>
      <c r="F12" s="348" t="n"/>
      <c r="G12" s="348" t="n"/>
      <c r="H12" s="348" t="n"/>
      <c r="I12" s="348" t="n"/>
    </row>
    <row r="13">
      <c r="A13" s="348" t="n"/>
      <c r="B13" s="348" t="n"/>
      <c r="C13" s="348" t="n"/>
      <c r="D13" s="348" t="n"/>
      <c r="E13" s="348" t="n"/>
      <c r="F13" s="348" t="n"/>
      <c r="G13" s="348" t="n"/>
      <c r="H13" s="348" t="n"/>
      <c r="I13" s="348" t="n"/>
    </row>
    <row r="14">
      <c r="A14" s="348" t="n"/>
      <c r="B14" s="348" t="n"/>
      <c r="C14" s="348" t="n"/>
      <c r="D14" s="348" t="n"/>
      <c r="E14" s="348" t="n"/>
      <c r="F14" s="348" t="n"/>
      <c r="G14" s="348" t="n"/>
      <c r="H14" s="348" t="n"/>
      <c r="I14" s="348" t="n"/>
    </row>
    <row r="15">
      <c r="A15" s="348" t="n"/>
      <c r="B15" s="348" t="n"/>
      <c r="C15" s="348" t="n"/>
      <c r="D15" s="348" t="n"/>
      <c r="E15" s="348" t="n"/>
      <c r="F15" s="348" t="n"/>
      <c r="G15" s="348" t="n"/>
      <c r="H15" s="348" t="n"/>
      <c r="I15" s="348" t="n"/>
    </row>
    <row r="16">
      <c r="A16" s="348" t="n"/>
      <c r="B16" s="348" t="n"/>
      <c r="C16" s="348" t="n"/>
      <c r="D16" s="348" t="n"/>
      <c r="E16" s="348" t="n"/>
      <c r="F16" s="348" t="n"/>
      <c r="G16" s="348" t="n"/>
      <c r="H16" s="348" t="n"/>
      <c r="I16" s="348" t="n"/>
    </row>
    <row r="17">
      <c r="A17" s="348" t="n"/>
      <c r="B17" s="348" t="n"/>
      <c r="C17" s="348" t="n"/>
      <c r="D17" s="348" t="n"/>
      <c r="E17" s="348" t="n"/>
      <c r="F17" s="348" t="n"/>
      <c r="G17" s="348" t="n"/>
      <c r="H17" s="348" t="n"/>
      <c r="I17" s="348" t="n"/>
    </row>
    <row r="18">
      <c r="A18" s="348" t="n"/>
      <c r="B18" s="348" t="n"/>
      <c r="C18" s="348" t="n"/>
      <c r="D18" s="348" t="n"/>
      <c r="E18" s="348" t="n"/>
      <c r="F18" s="348" t="n"/>
      <c r="G18" s="348" t="n"/>
      <c r="H18" s="348" t="n"/>
      <c r="I18" s="348" t="n"/>
    </row>
    <row r="19">
      <c r="A19" s="348" t="n"/>
      <c r="B19" s="348" t="n"/>
      <c r="C19" s="348" t="n"/>
      <c r="D19" s="348" t="n"/>
      <c r="E19" s="348" t="n"/>
      <c r="F19" s="348" t="n"/>
      <c r="G19" s="348" t="n"/>
      <c r="H19" s="348" t="n"/>
      <c r="I19" s="348" t="n"/>
    </row>
    <row r="20">
      <c r="A20" s="348" t="n"/>
      <c r="B20" s="348" t="n"/>
      <c r="C20" s="348" t="n"/>
      <c r="D20" s="348" t="n"/>
      <c r="E20" s="348" t="n"/>
      <c r="F20" s="348" t="n"/>
      <c r="G20" s="348" t="n"/>
      <c r="H20" s="348" t="n"/>
      <c r="I20" s="34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style="355" min="1" max="1"/>
    <col width="34" customWidth="1" style="355" min="2" max="2"/>
  </cols>
  <sheetData>
    <row r="1">
      <c r="A1" s="454" t="inlineStr">
        <is>
          <t>Metric</t>
        </is>
      </c>
      <c r="B1" s="454" t="inlineStr">
        <is>
          <t>Value</t>
        </is>
      </c>
    </row>
    <row r="2">
      <c r="A2" s="348" t="inlineStr">
        <is>
          <t>Source index rows</t>
        </is>
      </c>
      <c r="B2" s="348" t="n">
        <v>288</v>
      </c>
    </row>
    <row r="3">
      <c r="A3" s="348" t="inlineStr">
        <is>
          <t>Datasets indexed</t>
        </is>
      </c>
      <c r="B3" s="348" t="n">
        <v>6</v>
      </c>
    </row>
    <row r="4">
      <c r="A4" s="348" t="inlineStr">
        <is>
          <t>Cross-sheet validation rows</t>
        </is>
      </c>
      <c r="B4" s="348" t="n">
        <v>7</v>
      </c>
    </row>
    <row r="5">
      <c r="A5" s="348" t="inlineStr">
        <is>
          <t>Full 50-state production sheets passing</t>
        </is>
      </c>
      <c r="B5" s="348" t="n">
        <v>5</v>
      </c>
    </row>
    <row r="6">
      <c r="A6" s="348" t="inlineStr">
        <is>
          <t>Full 50-state production sheets needing review</t>
        </is>
      </c>
      <c r="B6" s="348" t="n">
        <v>1</v>
      </c>
    </row>
    <row r="7">
      <c r="A7" s="348" t="inlineStr">
        <is>
          <t>Partial datasets noted</t>
        </is>
      </c>
      <c r="B7" s="348" t="n">
        <v>1</v>
      </c>
    </row>
    <row r="8">
      <c r="A8" s="348" t="inlineStr">
        <is>
          <t>Non-government / secondary URLs flagged</t>
        </is>
      </c>
      <c r="B8" s="348" t="n">
        <v>38</v>
      </c>
    </row>
    <row r="9">
      <c r="A9" s="348" t="inlineStr">
        <is>
          <t>URLs requiring source-type verification</t>
        </is>
      </c>
      <c r="B9" s="348" t="n">
        <v>9</v>
      </c>
    </row>
    <row r="10">
      <c r="A10" s="348" t="inlineStr">
        <is>
          <t>Missing URLs</t>
        </is>
      </c>
      <c r="B10" s="348" t="n">
        <v>0</v>
      </c>
    </row>
    <row r="11">
      <c r="A11" s="348" t="inlineStr">
        <is>
          <t>Last verified date applied</t>
        </is>
      </c>
      <c r="B11" s="348" t="inlineStr">
        <is>
          <t>2026-06-07</t>
        </is>
      </c>
    </row>
    <row r="12">
      <c r="A12" s="348" t="inlineStr">
        <is>
          <t>Next review date applied</t>
        </is>
      </c>
      <c r="B12" s="348" t="inlineStr">
        <is>
          <t>2027-06-07</t>
        </is>
      </c>
    </row>
    <row r="13">
      <c r="A13" s="348" t="n"/>
      <c r="B13" s="348" t="n"/>
    </row>
    <row r="14">
      <c r="A14" s="348" t="n"/>
      <c r="B14" s="348" t="n"/>
    </row>
    <row r="15">
      <c r="A15" s="348" t="n"/>
      <c r="B15" s="348" t="n"/>
    </row>
    <row r="16">
      <c r="A16" s="348" t="n"/>
      <c r="B16" s="348" t="n"/>
    </row>
    <row r="17">
      <c r="A17" s="348" t="n"/>
      <c r="B17" s="348" t="n"/>
    </row>
    <row r="18">
      <c r="A18" s="348" t="n"/>
      <c r="B18" s="348" t="n"/>
    </row>
    <row r="19">
      <c r="A19" s="348" t="n"/>
      <c r="B19" s="348" t="n"/>
    </row>
    <row r="20">
      <c r="A20" s="348" t="n"/>
      <c r="B20" s="348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style="355" min="1" max="1"/>
    <col width="38" customWidth="1" style="355" min="2" max="2"/>
    <col width="16" customWidth="1" style="355" min="3" max="3"/>
    <col width="36" customWidth="1" style="355" min="4" max="4"/>
    <col width="18" customWidth="1" style="355" min="5" max="5"/>
    <col width="12" customWidth="1" style="355" min="6" max="6"/>
    <col width="46" customWidth="1" style="355" min="7" max="7"/>
  </cols>
  <sheetData>
    <row r="1">
      <c r="A1" s="494" t="inlineStr">
        <is>
          <t>D4 Release Readiness — Auto Insurance Requirements</t>
        </is>
      </c>
      <c r="B1" s="108" t="n"/>
      <c r="C1" s="108" t="n"/>
      <c r="D1" s="108" t="n"/>
      <c r="E1" s="108" t="n"/>
      <c r="F1" s="108" t="n"/>
      <c r="G1" s="108" t="n"/>
    </row>
    <row r="2">
      <c r="A2" s="463" t="inlineStr">
        <is>
          <t>Area</t>
        </is>
      </c>
      <c r="B2" s="463" t="inlineStr">
        <is>
          <t>Check</t>
        </is>
      </c>
      <c r="C2" s="463" t="inlineStr">
        <is>
          <t>Status</t>
        </is>
      </c>
      <c r="D2" s="463" t="inlineStr">
        <is>
          <t>Evidence / Formula</t>
        </is>
      </c>
      <c r="E2" s="463" t="inlineStr">
        <is>
          <t>Expected</t>
        </is>
      </c>
      <c r="F2" s="463" t="inlineStr">
        <is>
          <t>Result</t>
        </is>
      </c>
      <c r="G2" s="463" t="inlineStr">
        <is>
          <t>Notes</t>
        </is>
      </c>
    </row>
    <row r="3">
      <c r="A3" s="349" t="inlineStr">
        <is>
          <t>Workbook</t>
        </is>
      </c>
      <c r="B3" s="349" t="inlineStr">
        <is>
          <t>Production workbook opens and contains current audited datasets</t>
        </is>
      </c>
      <c r="C3" s="349" t="inlineStr">
        <is>
          <t>Pass</t>
        </is>
      </c>
      <c r="D3" s="349" t="inlineStr">
        <is>
          <t>Manual package build verification</t>
        </is>
      </c>
      <c r="E3" s="349" t="inlineStr">
        <is>
          <t>Workbook present</t>
        </is>
      </c>
      <c r="F3" s="349" t="inlineStr">
        <is>
          <t>Pass</t>
        </is>
      </c>
      <c r="G3" s="349" t="inlineStr">
        <is>
          <t>Current D3 workbook used as source, then D4 release sheets added.</t>
        </is>
      </c>
    </row>
    <row r="4">
      <c r="A4" s="349" t="inlineStr">
        <is>
          <t>Website Package</t>
        </is>
      </c>
      <c r="B4" s="349" t="inlineStr">
        <is>
          <t>Deployment ZIP contains only approved production files</t>
        </is>
      </c>
      <c r="C4" s="349" t="inlineStr">
        <is>
          <t>Pass</t>
        </is>
      </c>
      <c r="D4" s="349" t="inlineStr">
        <is>
          <t>Package manifest</t>
        </is>
      </c>
      <c r="E4" s="349" t="inlineStr">
        <is>
          <t>4 files</t>
        </is>
      </c>
      <c r="F4" s="349" t="inlineStr">
        <is>
          <t>Pass</t>
        </is>
      </c>
      <c r="G4" s="349" t="inlineStr">
        <is>
          <t>Old reports excluded from production ZIP.</t>
        </is>
      </c>
    </row>
    <row r="5">
      <c r="A5" s="349" t="inlineStr">
        <is>
          <t>Claims Deadlines</t>
        </is>
      </c>
      <c r="B5" s="349" t="inlineStr">
        <is>
          <t>Website-ready claims deadline sheet has 50 state rows</t>
        </is>
      </c>
      <c r="C5" s="349">
        <f>IF(F5=50,"Pass","Needs Review")</f>
        <v/>
      </c>
      <c r="D5" s="349">
        <f>COUNTA('Claims_Deadlines_Website'!A2:A100)</f>
        <v/>
      </c>
      <c r="E5" s="349" t="inlineStr">
        <is>
          <t>50</t>
        </is>
      </c>
      <c r="F5" s="349">
        <f>COUNTA('Claims_Deadlines_Website'!A2:A100)</f>
        <v/>
      </c>
      <c r="G5" s="349" t="inlineStr">
        <is>
          <t>Must remain 50 unique state rows.</t>
        </is>
      </c>
    </row>
    <row r="6">
      <c r="A6" s="349" t="inlineStr">
        <is>
          <t>Policy Disclosure</t>
        </is>
      </c>
      <c r="B6" s="349" t="inlineStr">
        <is>
          <t>Website-ready policy disclosure sheet has 50 state rows</t>
        </is>
      </c>
      <c r="C6" s="349">
        <f>IF(F6=50,"Pass","Needs Review")</f>
        <v/>
      </c>
      <c r="D6" s="349">
        <f>COUNTA('Policy_Disclosure_Website_Ready'!A2:A100)</f>
        <v/>
      </c>
      <c r="E6" s="349" t="inlineStr">
        <is>
          <t>50</t>
        </is>
      </c>
      <c r="F6" s="349">
        <f>COUNTA('Policy_Disclosure_Website_Ready'!A2:A100)</f>
        <v/>
      </c>
      <c r="G6" s="349" t="inlineStr">
        <is>
          <t>Must remain 50 unique state rows.</t>
        </is>
      </c>
    </row>
    <row r="7">
      <c r="A7" s="349" t="inlineStr">
        <is>
          <t>Minimums</t>
        </is>
      </c>
      <c r="B7" s="349" t="inlineStr">
        <is>
          <t>Minimums sheet has 50 state rows</t>
        </is>
      </c>
      <c r="C7" s="349">
        <f>IF(F7=50,"Pass","Needs Review")</f>
        <v/>
      </c>
      <c r="D7" s="349">
        <f>COUNTA('Auto Insurance Minimums'!A2:A100)</f>
        <v/>
      </c>
      <c r="E7" s="349" t="inlineStr">
        <is>
          <t>50</t>
        </is>
      </c>
      <c r="F7" s="349">
        <f>COUNTA('Auto Insurance Minimums'!A2:A100)</f>
        <v/>
      </c>
      <c r="G7" s="349" t="inlineStr">
        <is>
          <t>Core minimum coverage data source.</t>
        </is>
      </c>
    </row>
    <row r="8">
      <c r="A8" s="349" t="inlineStr">
        <is>
          <t>Source Index</t>
        </is>
      </c>
      <c r="B8" s="349" t="inlineStr">
        <is>
          <t>Source_Index has indexed source rows</t>
        </is>
      </c>
      <c r="C8" s="349">
        <f>IF(F8&gt;0,"Pass","Needs Review")</f>
        <v/>
      </c>
      <c r="D8" s="349">
        <f>COUNTA(Source_Index!A2:A500)</f>
        <v/>
      </c>
      <c r="E8" s="349" t="inlineStr">
        <is>
          <t>Greater than 0</t>
        </is>
      </c>
      <c r="F8" s="349">
        <f>COUNTA(Source_Index!A2:A500)</f>
        <v/>
      </c>
      <c r="G8" s="349" t="inlineStr">
        <is>
          <t>Master source archive populated.</t>
        </is>
      </c>
    </row>
    <row r="9">
      <c r="A9" s="349" t="inlineStr">
        <is>
          <t>URLs</t>
        </is>
      </c>
      <c r="B9" s="349" t="inlineStr">
        <is>
          <t>D3 URL audit reports no missing URLs</t>
        </is>
      </c>
      <c r="C9" s="349">
        <f>IF(F9=0,"Pass","Needs Review")</f>
        <v/>
      </c>
      <c r="D9" s="349">
        <f>COUNTIF(D3_URL_Audit!E2:E500,"Missing")</f>
        <v/>
      </c>
      <c r="E9" s="349" t="inlineStr">
        <is>
          <t>0</t>
        </is>
      </c>
      <c r="F9" s="349">
        <f>COUNTIF(D3_URL_Audit!E2:E500,"Missing")</f>
        <v/>
      </c>
      <c r="G9" s="349" t="inlineStr">
        <is>
          <t>Any missing URL should block deployment.</t>
        </is>
      </c>
    </row>
    <row r="10">
      <c r="A10" s="349" t="inlineStr">
        <is>
          <t>Claims Release Audit</t>
        </is>
      </c>
      <c r="B10" s="349" t="inlineStr">
        <is>
          <t>Claims release audit has all rows website-ready</t>
        </is>
      </c>
      <c r="C10" s="349">
        <f>IF(F10=0,"Pass","Needs Review")</f>
        <v/>
      </c>
      <c r="D10" s="349">
        <f>COUNTIF(Claims_Deadlines_Release_Audit!E2:E100,"No")</f>
        <v/>
      </c>
      <c r="E10" s="349" t="inlineStr">
        <is>
          <t>0</t>
        </is>
      </c>
      <c r="F10" s="349">
        <f>COUNTIF(Claims_Deadlines_Release_Audit!E2:E100,"No")</f>
        <v/>
      </c>
      <c r="G10" s="349" t="inlineStr">
        <is>
          <t>No claims row should be marked not website ready.</t>
        </is>
      </c>
    </row>
    <row r="11">
      <c r="A11" s="349" t="inlineStr">
        <is>
          <t>Policy Release Audit</t>
        </is>
      </c>
      <c r="B11" s="349" t="inlineStr">
        <is>
          <t>Policy disclosure D2 release audit passed</t>
        </is>
      </c>
      <c r="C11" s="349" t="inlineStr">
        <is>
          <t>Pass</t>
        </is>
      </c>
      <c r="D11" s="349" t="inlineStr">
        <is>
          <t>Policy_Disclosure_D2_Release_Audit</t>
        </is>
      </c>
      <c r="E11" s="349" t="inlineStr">
        <is>
          <t>Pass</t>
        </is>
      </c>
      <c r="F11" s="349" t="inlineStr">
        <is>
          <t>Pass</t>
        </is>
      </c>
      <c r="G11" s="349" t="inlineStr">
        <is>
          <t>Prior D2 audit showed 50 states and no missing citation/URL fields.</t>
        </is>
      </c>
    </row>
    <row r="12">
      <c r="A12" s="349" t="inlineStr">
        <is>
          <t>Formula Health</t>
        </is>
      </c>
      <c r="B12" s="349" t="inlineStr">
        <is>
          <t>Workbook formula error scan completed</t>
        </is>
      </c>
      <c r="C12" s="349" t="inlineStr">
        <is>
          <t>Pass</t>
        </is>
      </c>
      <c r="D12" s="349" t="inlineStr">
        <is>
          <t>Final D4 scan</t>
        </is>
      </c>
      <c r="E12" s="349" t="inlineStr">
        <is>
          <t>0 errors</t>
        </is>
      </c>
      <c r="F12" s="349" t="inlineStr">
        <is>
          <t>Pass</t>
        </is>
      </c>
      <c r="G12" s="349" t="inlineStr">
        <is>
          <t>Scanned for common formula error tokens.</t>
        </is>
      </c>
    </row>
  </sheetData>
  <mergeCells count="1">
    <mergeCell ref="A1:G1"/>
  </mergeCells>
  <conditionalFormatting sqref="C3:C12">
    <cfRule type="expression" priority="1" dxfId="6">
      <formula>C3="Pass"</formula>
    </cfRule>
    <cfRule type="expression" priority="2" dxfId="7">
      <formula>C3="Needs Review"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style="355" min="1" max="1"/>
    <col width="16" customWidth="1" style="355" min="2" max="2"/>
    <col width="34" customWidth="1" style="355" min="3" max="3"/>
    <col width="38" customWidth="1" style="355" min="4" max="4"/>
    <col width="44" customWidth="1" style="355" min="5" max="5"/>
  </cols>
  <sheetData>
    <row r="1">
      <c r="A1" s="494" t="inlineStr">
        <is>
          <t>D4 Clean Deployment Manifest</t>
        </is>
      </c>
      <c r="B1" s="108" t="n"/>
      <c r="C1" s="108" t="n"/>
      <c r="D1" s="108" t="n"/>
      <c r="E1" s="108" t="n"/>
    </row>
    <row r="2">
      <c r="A2" s="463" t="inlineStr">
        <is>
          <t>File</t>
        </is>
      </c>
      <c r="B2" s="463" t="inlineStr">
        <is>
          <t>Included in ZIP</t>
        </is>
      </c>
      <c r="C2" s="463" t="inlineStr">
        <is>
          <t>Purpose</t>
        </is>
      </c>
      <c r="D2" s="463" t="inlineStr">
        <is>
          <t>Source / Build Rule</t>
        </is>
      </c>
      <c r="E2" s="463" t="inlineStr">
        <is>
          <t>Notes</t>
        </is>
      </c>
    </row>
    <row r="3">
      <c r="A3" s="349" t="inlineStr">
        <is>
          <t>index.html</t>
        </is>
      </c>
      <c r="B3" s="349" t="inlineStr">
        <is>
          <t>Yes</t>
        </is>
      </c>
      <c r="C3" s="349" t="inlineStr">
        <is>
          <t>Website application shell</t>
        </is>
      </c>
      <c r="D3" s="349" t="inlineStr">
        <is>
          <t>Preserved from clean D3/C8 website package</t>
        </is>
      </c>
      <c r="E3" s="349" t="inlineStr">
        <is>
          <t>Approved UI remains locked; no redesign.</t>
        </is>
      </c>
    </row>
    <row r="4">
      <c r="A4" s="349" t="inlineStr">
        <is>
          <t>reference-icon.png</t>
        </is>
      </c>
      <c r="B4" s="349" t="inlineStr">
        <is>
          <t>Yes</t>
        </is>
      </c>
      <c r="C4" s="349" t="inlineStr">
        <is>
          <t>Website icon/logo asset</t>
        </is>
      </c>
      <c r="D4" s="349" t="inlineStr">
        <is>
          <t>Preserved from clean website package</t>
        </is>
      </c>
      <c r="E4" s="349" t="inlineStr">
        <is>
          <t>No extra image/report clutter.</t>
        </is>
      </c>
    </row>
    <row r="5">
      <c r="A5" s="349" t="inlineStr">
        <is>
          <t>README.md</t>
        </is>
      </c>
      <c r="B5" s="349" t="inlineStr">
        <is>
          <t>Yes</t>
        </is>
      </c>
      <c r="C5" s="349" t="inlineStr">
        <is>
          <t>Repository/deployment notes</t>
        </is>
      </c>
      <c r="D5" s="349" t="inlineStr">
        <is>
          <t>Preserved from clean website package</t>
        </is>
      </c>
      <c r="E5" s="349" t="inlineStr">
        <is>
          <t>Can be updated later if deployment process changes.</t>
        </is>
      </c>
    </row>
    <row r="6">
      <c r="A6" s="349" t="inlineStr">
        <is>
          <t>Auto_Insurance_Requirements.xlsx</t>
        </is>
      </c>
      <c r="B6" s="349" t="inlineStr">
        <is>
          <t>Yes</t>
        </is>
      </c>
      <c r="C6" s="349" t="inlineStr">
        <is>
          <t>Current production workbook</t>
        </is>
      </c>
      <c r="D6" s="349" t="inlineStr">
        <is>
          <t>D4 workbook exported under deployment filename</t>
        </is>
      </c>
      <c r="E6" s="349" t="inlineStr">
        <is>
          <t>Contains data, source index, maintenance and audit sheets.</t>
        </is>
      </c>
    </row>
    <row r="7">
      <c r="A7" s="349" t="inlineStr">
        <is>
          <t>Historical reports</t>
        </is>
      </c>
      <c r="B7" s="349" t="inlineStr">
        <is>
          <t>No</t>
        </is>
      </c>
      <c r="C7" s="349" t="inlineStr">
        <is>
          <t>Archived project history only</t>
        </is>
      </c>
      <c r="D7" s="349" t="inlineStr">
        <is>
          <t>Excluded from production ZIP</t>
        </is>
      </c>
      <c r="E7" s="349" t="inlineStr">
        <is>
          <t>Old reports should stay outside deployment package.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6" customWidth="1" style="355" min="1" max="1"/>
    <col width="32" customWidth="1" style="355" min="2" max="2"/>
    <col width="18" customWidth="1" style="355" min="3" max="3"/>
    <col width="16" customWidth="1" style="355" min="4" max="4"/>
    <col width="16" customWidth="1" style="355" min="5" max="5"/>
    <col width="32" customWidth="1" style="355" min="6" max="6"/>
    <col width="14" customWidth="1" style="355" min="7" max="7"/>
    <col width="22" customWidth="1" style="355" min="8" max="8"/>
    <col width="48" customWidth="1" style="355" min="9" max="9"/>
  </cols>
  <sheetData>
    <row r="1">
      <c r="A1" s="494" t="inlineStr">
        <is>
          <t>D4 Annual Update Queue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</row>
    <row r="2">
      <c r="A2" s="463" t="inlineStr">
        <is>
          <t>Dataset</t>
        </is>
      </c>
      <c r="B2" s="463" t="inlineStr">
        <is>
          <t>Scope</t>
        </is>
      </c>
      <c r="C2" s="463" t="inlineStr">
        <is>
          <t>Review Cadence</t>
        </is>
      </c>
      <c r="D2" s="463" t="inlineStr">
        <is>
          <t>Last Verified</t>
        </is>
      </c>
      <c r="E2" s="463" t="inlineStr">
        <is>
          <t>Next Review</t>
        </is>
      </c>
      <c r="F2" s="463" t="inlineStr">
        <is>
          <t>Authority Priority</t>
        </is>
      </c>
      <c r="G2" s="463" t="inlineStr">
        <is>
          <t>Risk Level</t>
        </is>
      </c>
      <c r="H2" s="463" t="inlineStr">
        <is>
          <t>Owner / Assignment</t>
        </is>
      </c>
      <c r="I2" s="463" t="inlineStr">
        <is>
          <t>Notes</t>
        </is>
      </c>
    </row>
    <row r="3">
      <c r="A3" s="349" t="inlineStr">
        <is>
          <t>Auto Insurance Minimums</t>
        </is>
      </c>
      <c r="B3" s="349" t="inlineStr">
        <is>
          <t>BI/PD/PIP/UM/UIM/SOL</t>
        </is>
      </c>
      <c r="C3" s="349" t="inlineStr">
        <is>
          <t>Annual</t>
        </is>
      </c>
      <c r="D3" s="495" t="n">
        <v>46180</v>
      </c>
      <c r="E3" s="495" t="n">
        <v>46545</v>
      </c>
      <c r="F3" s="349" t="inlineStr">
        <is>
          <t>Statute / DOI / Court rule</t>
        </is>
      </c>
      <c r="G3" s="349" t="inlineStr">
        <is>
          <t>High</t>
        </is>
      </c>
      <c r="H3" s="349" t="inlineStr">
        <is>
          <t>Project Owner</t>
        </is>
      </c>
      <c r="I3" s="349" t="inlineStr">
        <is>
          <t>Recheck all minimum limits and statute of limitations annually.</t>
        </is>
      </c>
    </row>
    <row r="4">
      <c r="A4" s="349" t="inlineStr">
        <is>
          <t>Policy Disclosures</t>
        </is>
      </c>
      <c r="B4" s="349" t="inlineStr">
        <is>
          <t>Limit disclosure requirements</t>
        </is>
      </c>
      <c r="C4" s="349" t="inlineStr">
        <is>
          <t>Annual</t>
        </is>
      </c>
      <c r="D4" s="495" t="n">
        <v>46180</v>
      </c>
      <c r="E4" s="495" t="n">
        <v>46545</v>
      </c>
      <c r="F4" s="349" t="inlineStr">
        <is>
          <t>Statute / DOI bulletin / appellate decision</t>
        </is>
      </c>
      <c r="G4" s="349" t="inlineStr">
        <is>
          <t>High</t>
        </is>
      </c>
      <c r="H4" s="349" t="inlineStr">
        <is>
          <t>Project Owner</t>
        </is>
      </c>
      <c r="I4" s="349" t="inlineStr">
        <is>
          <t>Highest legal-risk dataset; prioritize government/primary sources.</t>
        </is>
      </c>
    </row>
    <row r="5">
      <c r="A5" s="349" t="inlineStr">
        <is>
          <t>Claims_Deadlines</t>
        </is>
      </c>
      <c r="B5" s="349" t="inlineStr">
        <is>
          <t>Claims handling timing</t>
        </is>
      </c>
      <c r="C5" s="349" t="inlineStr">
        <is>
          <t>Annual</t>
        </is>
      </c>
      <c r="D5" s="495" t="n">
        <v>46180</v>
      </c>
      <c r="E5" s="495" t="n">
        <v>46545</v>
      </c>
      <c r="F5" s="349" t="inlineStr">
        <is>
          <t>Admin code / DOI regulation / statute</t>
        </is>
      </c>
      <c r="G5" s="349" t="inlineStr">
        <is>
          <t>High</t>
        </is>
      </c>
      <c r="H5" s="349" t="inlineStr">
        <is>
          <t>Project Owner</t>
        </is>
      </c>
      <c r="I5" s="349" t="inlineStr">
        <is>
          <t>Verify triggers and fixed deadlines before updating website.</t>
        </is>
      </c>
    </row>
    <row r="6">
      <c r="A6" s="349" t="inlineStr">
        <is>
          <t>UM_UIM_Rules</t>
        </is>
      </c>
      <c r="B6" s="349" t="inlineStr">
        <is>
          <t>UM/UIM availability and rejection rules</t>
        </is>
      </c>
      <c r="C6" s="349" t="inlineStr">
        <is>
          <t>Annual</t>
        </is>
      </c>
      <c r="D6" s="495" t="n">
        <v>46180</v>
      </c>
      <c r="E6" s="495" t="n">
        <v>46545</v>
      </c>
      <c r="F6" s="349" t="inlineStr">
        <is>
          <t>Statute / DOI regulation</t>
        </is>
      </c>
      <c r="G6" s="349" t="inlineStr">
        <is>
          <t>Medium</t>
        </is>
      </c>
      <c r="H6" s="349" t="inlineStr">
        <is>
          <t>Project Owner</t>
        </is>
      </c>
      <c r="I6" s="349" t="inlineStr">
        <is>
          <t>Confirm rejection/offer wording has not changed.</t>
        </is>
      </c>
    </row>
    <row r="7">
      <c r="A7" s="349" t="inlineStr">
        <is>
          <t>Comparative_Negligence</t>
        </is>
      </c>
      <c r="B7" s="349" t="inlineStr">
        <is>
          <t>Fault framework</t>
        </is>
      </c>
      <c r="C7" s="349" t="inlineStr">
        <is>
          <t>Annual</t>
        </is>
      </c>
      <c r="D7" s="495" t="n">
        <v>46180</v>
      </c>
      <c r="E7" s="495" t="n">
        <v>46545</v>
      </c>
      <c r="F7" s="349" t="inlineStr">
        <is>
          <t>Statute / case law / court source</t>
        </is>
      </c>
      <c r="G7" s="349" t="inlineStr">
        <is>
          <t>Medium</t>
        </is>
      </c>
      <c r="H7" s="349" t="inlineStr">
        <is>
          <t>Project Owner</t>
        </is>
      </c>
      <c r="I7" s="349" t="inlineStr">
        <is>
          <t>State tort frameworks can change by statute or decision.</t>
        </is>
      </c>
    </row>
    <row r="8">
      <c r="A8" s="349" t="inlineStr">
        <is>
          <t>PIP_NoFault</t>
        </is>
      </c>
      <c r="B8" s="349" t="inlineStr">
        <is>
          <t>PIP/no-fault requirements</t>
        </is>
      </c>
      <c r="C8" s="349" t="inlineStr">
        <is>
          <t>Annual</t>
        </is>
      </c>
      <c r="D8" s="495" t="n">
        <v>46180</v>
      </c>
      <c r="E8" s="495" t="n">
        <v>46545</v>
      </c>
      <c r="F8" s="349" t="inlineStr">
        <is>
          <t>Statute / DOI regulation</t>
        </is>
      </c>
      <c r="G8" s="349" t="inlineStr">
        <is>
          <t>Medium</t>
        </is>
      </c>
      <c r="H8" s="349" t="inlineStr">
        <is>
          <t>Project Owner</t>
        </is>
      </c>
      <c r="I8" s="349" t="inlineStr">
        <is>
          <t>Verify thresholds, PIP availability, and no-fault labels.</t>
        </is>
      </c>
    </row>
    <row r="9">
      <c r="A9" s="349" t="inlineStr">
        <is>
          <t>Bad_Faith</t>
        </is>
      </c>
      <c r="B9" s="349" t="inlineStr">
        <is>
          <t>Bad faith authority summary</t>
        </is>
      </c>
      <c r="C9" s="349" t="inlineStr">
        <is>
          <t>Annual</t>
        </is>
      </c>
      <c r="D9" s="495" t="n">
        <v>46180</v>
      </c>
      <c r="E9" s="495" t="n">
        <v>46545</v>
      </c>
      <c r="F9" s="349" t="inlineStr">
        <is>
          <t>Statute / appellate decision</t>
        </is>
      </c>
      <c r="G9" s="349" t="inlineStr">
        <is>
          <t>High</t>
        </is>
      </c>
      <c r="H9" s="349" t="inlineStr">
        <is>
          <t>Project Owner</t>
        </is>
      </c>
      <c r="I9" s="349" t="inlineStr">
        <is>
          <t>Keep concise; avoid overbroad legal conclusions.</t>
        </is>
      </c>
    </row>
    <row r="10">
      <c r="A10" s="349" t="inlineStr">
        <is>
          <t>Source_Index</t>
        </is>
      </c>
      <c r="B10" s="349" t="inlineStr">
        <is>
          <t>Master source archive</t>
        </is>
      </c>
      <c r="C10" s="349" t="inlineStr">
        <is>
          <t>Quarterly</t>
        </is>
      </c>
      <c r="D10" s="495" t="n">
        <v>46180</v>
      </c>
      <c r="E10" s="495" t="n">
        <v>46272</v>
      </c>
      <c r="F10" s="349" t="inlineStr">
        <is>
          <t>Official URL verification</t>
        </is>
      </c>
      <c r="G10" s="349" t="inlineStr">
        <is>
          <t>High</t>
        </is>
      </c>
      <c r="H10" s="349" t="inlineStr">
        <is>
          <t>Project Owner</t>
        </is>
      </c>
      <c r="I10" s="349" t="inlineStr">
        <is>
          <t>Check broken links and government URL replacements.</t>
        </is>
      </c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style="355" min="1" max="1"/>
    <col width="56" customWidth="1" style="355" min="2" max="2"/>
  </cols>
  <sheetData>
    <row r="1">
      <c r="A1" s="494" t="inlineStr">
        <is>
          <t>D4 Summary</t>
        </is>
      </c>
      <c r="B1" s="108" t="n"/>
    </row>
    <row r="2">
      <c r="A2" s="463" t="inlineStr">
        <is>
          <t>Metric</t>
        </is>
      </c>
      <c r="B2" s="463" t="inlineStr">
        <is>
          <t>Value</t>
        </is>
      </c>
    </row>
    <row r="3">
      <c r="A3" s="349" t="inlineStr">
        <is>
          <t>Phase</t>
        </is>
      </c>
      <c r="B3" s="349" t="inlineStr">
        <is>
          <t>D4 Release Control / Maintenance Readiness</t>
        </is>
      </c>
    </row>
    <row r="4">
      <c r="A4" s="349" t="inlineStr">
        <is>
          <t>Release package status</t>
        </is>
      </c>
      <c r="B4" s="349" t="inlineStr">
        <is>
          <t>Clean deployment ZIP built</t>
        </is>
      </c>
    </row>
    <row r="5">
      <c r="A5" s="349" t="inlineStr">
        <is>
          <t>Old reports in deployment ZIP</t>
        </is>
      </c>
      <c r="B5" s="349" t="inlineStr">
        <is>
          <t>0</t>
        </is>
      </c>
    </row>
    <row r="6">
      <c r="A6" s="349" t="inlineStr">
        <is>
          <t>Approved UI modified</t>
        </is>
      </c>
      <c r="B6" s="349" t="inlineStr">
        <is>
          <t>No</t>
        </is>
      </c>
    </row>
    <row r="7">
      <c r="A7" s="349" t="inlineStr">
        <is>
          <t>Deployment file count</t>
        </is>
      </c>
      <c r="B7" s="349" t="inlineStr">
        <is>
          <t>4</t>
        </is>
      </c>
    </row>
    <row r="8">
      <c r="A8" s="349" t="inlineStr">
        <is>
          <t>Workbook source</t>
        </is>
      </c>
      <c r="B8" s="349" t="inlineStr">
        <is>
          <t>Auto_Insurance_Requirements_D3_Source_Index_Maintenance.xlsx</t>
        </is>
      </c>
    </row>
    <row r="9">
      <c r="A9" s="349" t="inlineStr">
        <is>
          <t>Primary workbook output</t>
        </is>
      </c>
      <c r="B9" s="349" t="inlineStr">
        <is>
          <t>Auto_Insurance_Requirements_D4_Release_Control.xlsx</t>
        </is>
      </c>
    </row>
    <row r="10">
      <c r="A10" s="349" t="inlineStr">
        <is>
          <t>Clean website ZIP</t>
        </is>
      </c>
      <c r="B10" s="349" t="inlineStr">
        <is>
          <t>US_Auto_Insurance_D4_Clean_Website.zip</t>
        </is>
      </c>
    </row>
    <row r="11">
      <c r="A11" s="349" t="inlineStr">
        <is>
          <t>Next recommended phase</t>
        </is>
      </c>
      <c r="B11" s="349" t="inlineStr">
        <is>
          <t>D5 Website Integration QA / browser validation</t>
        </is>
      </c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7.63999938964844" customWidth="1" style="355" min="1" max="1"/>
    <col width="65.55000305175781" customWidth="1" style="355" min="2" max="2"/>
    <col width="11.17000007629395" customWidth="1" style="355" min="3" max="3"/>
    <col width="64.73999786376953" customWidth="1" style="355" min="4" max="4"/>
    <col width="7.670000076293945" customWidth="1" style="355" min="5" max="5"/>
    <col width="23.54999923706055" customWidth="1" style="355" min="6" max="6"/>
    <col width="94.20999908447266" customWidth="1" style="355" min="7" max="7"/>
  </cols>
  <sheetData>
    <row r="1">
      <c r="A1" s="470" t="inlineStr">
        <is>
          <t>D5 Website Integration QA — Auto Insurance Requirements</t>
        </is>
      </c>
      <c r="B1" s="470" t="str"/>
      <c r="C1" s="470" t="str"/>
      <c r="D1" s="470" t="str"/>
      <c r="E1" s="470" t="str"/>
      <c r="F1" s="470" t="str"/>
      <c r="G1" s="470" t="str"/>
    </row>
    <row r="2">
      <c r="A2" s="471" t="inlineStr">
        <is>
          <t>Check Area</t>
        </is>
      </c>
      <c r="B2" s="471" t="inlineStr">
        <is>
          <t>Check</t>
        </is>
      </c>
      <c r="C2" s="471" t="inlineStr">
        <is>
          <t>Status</t>
        </is>
      </c>
      <c r="D2" s="471" t="inlineStr">
        <is>
          <t>Evidence</t>
        </is>
      </c>
      <c r="E2" s="471" t="inlineStr">
        <is>
          <t>Risk Level</t>
        </is>
      </c>
      <c r="F2" s="471" t="inlineStr">
        <is>
          <t>Action</t>
        </is>
      </c>
      <c r="G2" s="471" t="inlineStr">
        <is>
          <t>Notes</t>
        </is>
      </c>
    </row>
    <row r="3">
      <c r="A3" s="348" t="inlineStr">
        <is>
          <t>Package</t>
        </is>
      </c>
      <c r="B3" s="348" t="inlineStr">
        <is>
          <t>Clean deployment ZIP contains only approved production files</t>
        </is>
      </c>
      <c r="C3" s="348" t="inlineStr">
        <is>
          <t>Pass</t>
        </is>
      </c>
      <c r="D3" s="348" t="inlineStr">
        <is>
          <t>index.html, reference-icon.png, README.md, Auto_Insurance_Requirements.xlsx</t>
        </is>
      </c>
      <c r="E3" s="348" t="inlineStr">
        <is>
          <t>Low</t>
        </is>
      </c>
      <c r="F3" s="348" t="inlineStr">
        <is>
          <t>None</t>
        </is>
      </c>
      <c r="G3" s="348" t="inlineStr">
        <is>
          <t>Historical reports remain excluded from deployment package.</t>
        </is>
      </c>
    </row>
    <row r="4">
      <c r="A4" s="348" t="inlineStr">
        <is>
          <t>Package</t>
        </is>
      </c>
      <c r="B4" s="348" t="inlineStr">
        <is>
          <t>Deployment file count remains 4</t>
        </is>
      </c>
      <c r="C4" s="348" t="inlineStr">
        <is>
          <t>Pass</t>
        </is>
      </c>
      <c r="D4" s="348" t="n">
        <v>4</v>
      </c>
      <c r="E4" s="348" t="inlineStr">
        <is>
          <t>Low</t>
        </is>
      </c>
      <c r="F4" s="348" t="inlineStr">
        <is>
          <t>None</t>
        </is>
      </c>
      <c r="G4" s="348" t="inlineStr">
        <is>
          <t>Expected: index.html, reference-icon.png, README.md, Auto_Insurance_Requirements.xlsx.</t>
        </is>
      </c>
    </row>
    <row r="5">
      <c r="A5" s="348" t="inlineStr">
        <is>
          <t>Workbook Reference</t>
        </is>
      </c>
      <c r="B5" s="348" t="inlineStr">
        <is>
          <t>Website references Auto_Insurance_Requirements.xlsx</t>
        </is>
      </c>
      <c r="C5" s="348" t="inlineStr">
        <is>
          <t>Pass</t>
        </is>
      </c>
      <c r="D5" s="348" t="inlineStr">
        <is>
          <t>Auto_Insurance_Requirements.xlsx</t>
        </is>
      </c>
      <c r="E5" s="348" t="inlineStr">
        <is>
          <t>Low</t>
        </is>
      </c>
      <c r="F5" s="348" t="inlineStr">
        <is>
          <t>None</t>
        </is>
      </c>
      <c r="G5" s="348" t="inlineStr">
        <is>
          <t>Workbook filename matches deployment package.</t>
        </is>
      </c>
    </row>
    <row r="6">
      <c r="A6" s="348" t="inlineStr">
        <is>
          <t>Minimums UI</t>
        </is>
      </c>
      <c r="B6" s="348" t="inlineStr">
        <is>
          <t>Website dynamically identifies state rows for minimum requirements</t>
        </is>
      </c>
      <c r="C6" s="348" t="inlineStr">
        <is>
          <t>Pass</t>
        </is>
      </c>
      <c r="D6" s="348" t="inlineStr">
        <is>
          <t>sheetToRows(workbook) present in index.html</t>
        </is>
      </c>
      <c r="E6" s="348" t="inlineStr">
        <is>
          <t>Low</t>
        </is>
      </c>
      <c r="F6" s="348" t="inlineStr">
        <is>
          <t>None</t>
        </is>
      </c>
      <c r="G6" s="348" t="inlineStr">
        <is>
          <t>Existing approved UI remains untouched.</t>
        </is>
      </c>
    </row>
    <row r="7">
      <c r="A7" s="348" t="inlineStr">
        <is>
          <t>Policy Disclosure UI</t>
        </is>
      </c>
      <c r="B7" s="348" t="inlineStr">
        <is>
          <t>Website reads Policy Disclosures sheet</t>
        </is>
      </c>
      <c r="C7" s="348" t="inlineStr">
        <is>
          <t>Pass</t>
        </is>
      </c>
      <c r="D7" s="348" t="inlineStr">
        <is>
          <t>Policy Disclosures</t>
        </is>
      </c>
      <c r="E7" s="348" t="inlineStr">
        <is>
          <t>Low</t>
        </is>
      </c>
      <c r="F7" s="348" t="inlineStr">
        <is>
          <t>None</t>
        </is>
      </c>
      <c r="G7" s="348" t="inlineStr">
        <is>
          <t>Policy Disclosure section is displayed in state details.</t>
        </is>
      </c>
    </row>
    <row r="8">
      <c r="A8" s="348" t="inlineStr">
        <is>
          <t>Claims Deadlines UI</t>
        </is>
      </c>
      <c r="B8" s="348" t="inlineStr">
        <is>
          <t>Audited Claims data exists in workbook but is not currently surfaced by index.html</t>
        </is>
      </c>
      <c r="C8" s="348" t="inlineStr">
        <is>
          <t>Needs Review</t>
        </is>
      </c>
      <c r="D8" s="348" t="inlineStr">
        <is>
          <t>Not detected</t>
        </is>
      </c>
      <c r="E8" s="348" t="inlineStr">
        <is>
          <t>Medium</t>
        </is>
      </c>
      <c r="F8" s="348" t="inlineStr">
        <is>
          <t>Plan non-redesign integration</t>
        </is>
      </c>
      <c r="G8" s="348" t="inlineStr">
        <is>
          <t>Claims data is production-ready in workbook; website display is a future integration step unless intentionally deferred.</t>
        </is>
      </c>
    </row>
    <row r="9">
      <c r="A9" s="348" t="inlineStr">
        <is>
          <t>Approved UI</t>
        </is>
      </c>
      <c r="B9" s="348" t="inlineStr">
        <is>
          <t>No UI redesign performed during D5</t>
        </is>
      </c>
      <c r="C9" s="348" t="inlineStr">
        <is>
          <t>Pass</t>
        </is>
      </c>
      <c r="D9" s="348" t="inlineStr">
        <is>
          <t>No index.html rewrite in D5 package</t>
        </is>
      </c>
      <c r="E9" s="348" t="inlineStr">
        <is>
          <t>Low</t>
        </is>
      </c>
      <c r="F9" s="348" t="inlineStr">
        <is>
          <t>None</t>
        </is>
      </c>
      <c r="G9" s="348" t="inlineStr">
        <is>
          <t>D5 is workbook/package QA only.</t>
        </is>
      </c>
    </row>
    <row r="10">
      <c r="A10" s="348" t="inlineStr">
        <is>
          <t>Legal Data</t>
        </is>
      </c>
      <c r="B10" s="348" t="inlineStr">
        <is>
          <t>Courtroom-grade source sheets preserved in workbook</t>
        </is>
      </c>
      <c r="C10" s="348" t="inlineStr">
        <is>
          <t>Pass</t>
        </is>
      </c>
      <c r="D10" s="348" t="inlineStr">
        <is>
          <t>Source_Index and audit sheets retained</t>
        </is>
      </c>
      <c r="E10" s="348" t="inlineStr">
        <is>
          <t>Low</t>
        </is>
      </c>
      <c r="F10" s="348" t="inlineStr">
        <is>
          <t>None</t>
        </is>
      </c>
      <c r="G10" s="348" t="inlineStr">
        <is>
          <t>Production workbook remains source-of-truth driven.</t>
        </is>
      </c>
    </row>
    <row r="11">
      <c r="A11" s="348" t="inlineStr">
        <is>
          <t>Release</t>
        </is>
      </c>
      <c r="B11" s="348" t="inlineStr">
        <is>
          <t>D5 package suitable as clean deployment baseline</t>
        </is>
      </c>
      <c r="C11" s="348" t="inlineStr">
        <is>
          <t>Pass</t>
        </is>
      </c>
      <c r="D11" s="348" t="inlineStr">
        <is>
          <t>Clean ZIP rebuilt with updated workbook</t>
        </is>
      </c>
      <c r="E11" s="348" t="inlineStr">
        <is>
          <t>Low</t>
        </is>
      </c>
      <c r="F11" s="348" t="inlineStr">
        <is>
          <t>None</t>
        </is>
      </c>
      <c r="G11" s="348" t="inlineStr">
        <is>
          <t>Claims display integration remains the only medium-priority website-surface item.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.3799991607666" customWidth="1" style="355" min="1" max="1"/>
    <col width="21" customWidth="1" style="355" min="2" max="2"/>
    <col width="27.19000053405762" customWidth="1" style="355" min="3" max="3"/>
    <col width="4.170000076293945" customWidth="1" style="355" min="4" max="4"/>
    <col width="26.92000007629395" customWidth="1" style="355" min="5" max="5"/>
    <col width="21.27000045776367" customWidth="1" style="355" min="6" max="6"/>
    <col width="53.70000076293945" customWidth="1" style="355" min="7" max="7"/>
  </cols>
  <sheetData>
    <row r="1">
      <c r="A1" s="470" t="inlineStr">
        <is>
          <t>Dataset</t>
        </is>
      </c>
      <c r="B1" s="470" t="inlineStr">
        <is>
          <t>Primary Sheet</t>
        </is>
      </c>
      <c r="C1" s="470" t="inlineStr">
        <is>
          <t>Website-Ready Sheet</t>
        </is>
      </c>
      <c r="D1" s="470" t="inlineStr">
        <is>
          <t>Rows</t>
        </is>
      </c>
      <c r="E1" s="470" t="inlineStr">
        <is>
          <t>Currently Surfaced on Website</t>
        </is>
      </c>
      <c r="F1" s="470" t="inlineStr">
        <is>
          <t>Status</t>
        </is>
      </c>
      <c r="G1" s="470" t="inlineStr">
        <is>
          <t>Next Action</t>
        </is>
      </c>
    </row>
    <row r="2">
      <c r="A2" s="348" t="inlineStr">
        <is>
          <t>Minimum Requirements</t>
        </is>
      </c>
      <c r="B2" s="348" t="inlineStr">
        <is>
          <t>Auto Insurance Minimums</t>
        </is>
      </c>
      <c r="C2" s="348" t="inlineStr">
        <is>
          <t>Auto Insurance Minimums</t>
        </is>
      </c>
      <c r="D2" s="348" t="inlineStr">
        <is>
          <t>50</t>
        </is>
      </c>
      <c r="E2" s="348" t="inlineStr">
        <is>
          <t>Yes</t>
        </is>
      </c>
      <c r="F2" s="348" t="inlineStr">
        <is>
          <t>Pass</t>
        </is>
      </c>
      <c r="G2" s="348" t="inlineStr">
        <is>
          <t>Maintain current approved UI.</t>
        </is>
      </c>
    </row>
    <row r="3">
      <c r="A3" s="348" t="inlineStr">
        <is>
          <t>Policy Disclosure</t>
        </is>
      </c>
      <c r="B3" s="348" t="inlineStr">
        <is>
          <t>Policy Disclosures</t>
        </is>
      </c>
      <c r="C3" s="348" t="inlineStr">
        <is>
          <t>Policy_Disclosure_Website_Ready</t>
        </is>
      </c>
      <c r="D3" s="348" t="inlineStr">
        <is>
          <t>50</t>
        </is>
      </c>
      <c r="E3" s="348" t="inlineStr">
        <is>
          <t>Yes</t>
        </is>
      </c>
      <c r="F3" s="348" t="inlineStr">
        <is>
          <t>Pass</t>
        </is>
      </c>
      <c r="G3" s="348" t="inlineStr">
        <is>
          <t>Maintain current approved UI.</t>
        </is>
      </c>
    </row>
    <row r="4">
      <c r="A4" s="348" t="inlineStr">
        <is>
          <t>Claims Deadlines</t>
        </is>
      </c>
      <c r="B4" s="348" t="inlineStr">
        <is>
          <t>Claims_Deadlines</t>
        </is>
      </c>
      <c r="C4" s="348" t="inlineStr">
        <is>
          <t>Claims_Deadlines_Website</t>
        </is>
      </c>
      <c r="D4" s="348" t="inlineStr">
        <is>
          <t>50</t>
        </is>
      </c>
      <c r="E4" s="348" t="inlineStr">
        <is>
          <t>No</t>
        </is>
      </c>
      <c r="F4" s="348" t="inlineStr">
        <is>
          <t>Ready / Not Surfaced</t>
        </is>
      </c>
      <c r="G4" s="348" t="inlineStr">
        <is>
          <t>Add to website only through approved non-redesign enhancement.</t>
        </is>
      </c>
    </row>
    <row r="5">
      <c r="A5" s="348" t="inlineStr">
        <is>
          <t>UM/UIM Rules</t>
        </is>
      </c>
      <c r="B5" s="348" t="inlineStr">
        <is>
          <t>UM_UIM_Rules</t>
        </is>
      </c>
      <c r="C5" s="348" t="inlineStr">
        <is>
          <t>N/A</t>
        </is>
      </c>
      <c r="D5" s="348" t="inlineStr">
        <is>
          <t>50</t>
        </is>
      </c>
      <c r="E5" s="348" t="inlineStr">
        <is>
          <t>Partially through minimums fields</t>
        </is>
      </c>
      <c r="F5" s="348" t="inlineStr">
        <is>
          <t>Pass</t>
        </is>
      </c>
      <c r="G5" s="348" t="inlineStr">
        <is>
          <t>Keep full rules in workbook for deeper reference.</t>
        </is>
      </c>
    </row>
    <row r="6">
      <c r="A6" s="348" t="inlineStr">
        <is>
          <t>PIP / No-Fault</t>
        </is>
      </c>
      <c r="B6" s="348" t="inlineStr">
        <is>
          <t>PIP_NoFault</t>
        </is>
      </c>
      <c r="C6" s="348" t="inlineStr">
        <is>
          <t>N/A</t>
        </is>
      </c>
      <c r="D6" s="348" t="inlineStr">
        <is>
          <t>50</t>
        </is>
      </c>
      <c r="E6" s="348" t="inlineStr">
        <is>
          <t>Partially through minimums fields</t>
        </is>
      </c>
      <c r="F6" s="348" t="inlineStr">
        <is>
          <t>Pass</t>
        </is>
      </c>
      <c r="G6" s="348" t="inlineStr">
        <is>
          <t>Keep as source/detail sheet.</t>
        </is>
      </c>
    </row>
    <row r="7">
      <c r="A7" s="348" t="inlineStr">
        <is>
          <t>Bad Faith</t>
        </is>
      </c>
      <c r="B7" s="348" t="inlineStr">
        <is>
          <t>Bad_Faith</t>
        </is>
      </c>
      <c r="C7" s="348" t="inlineStr">
        <is>
          <t>N/A</t>
        </is>
      </c>
      <c r="D7" s="348" t="inlineStr">
        <is>
          <t>49</t>
        </is>
      </c>
      <c r="E7" s="348" t="inlineStr">
        <is>
          <t>No</t>
        </is>
      </c>
      <c r="F7" s="348" t="inlineStr">
        <is>
          <t>Needs Dataset Completion</t>
        </is>
      </c>
      <c r="G7" s="348" t="inlineStr">
        <is>
          <t>Idaho missing in D3 validation; complete before website surfacing.</t>
        </is>
      </c>
    </row>
    <row r="8">
      <c r="A8" s="348" t="inlineStr">
        <is>
          <t>Comparative Negligence</t>
        </is>
      </c>
      <c r="B8" s="348" t="inlineStr">
        <is>
          <t>Comparative_Negligence</t>
        </is>
      </c>
      <c r="C8" s="348" t="inlineStr">
        <is>
          <t>N/A</t>
        </is>
      </c>
      <c r="D8" s="348" t="inlineStr">
        <is>
          <t>40</t>
        </is>
      </c>
      <c r="E8" s="348" t="inlineStr">
        <is>
          <t>No</t>
        </is>
      </c>
      <c r="F8" s="348" t="inlineStr">
        <is>
          <t>Partial Dataset</t>
        </is>
      </c>
      <c r="G8" s="348" t="inlineStr">
        <is>
          <t>Complete remaining 10 states before website surfacing.</t>
        </is>
      </c>
    </row>
    <row r="9">
      <c r="A9" s="348" t="inlineStr">
        <is>
          <t>Source Index</t>
        </is>
      </c>
      <c r="B9" s="348" t="inlineStr">
        <is>
          <t>Source_Index</t>
        </is>
      </c>
      <c r="C9" s="348" t="inlineStr">
        <is>
          <t>N/A</t>
        </is>
      </c>
      <c r="D9" s="348" t="inlineStr">
        <is>
          <t>288</t>
        </is>
      </c>
      <c r="E9" s="348" t="inlineStr">
        <is>
          <t>No</t>
        </is>
      </c>
      <c r="F9" s="348" t="inlineStr">
        <is>
          <t>Pass</t>
        </is>
      </c>
      <c r="G9" s="348" t="inlineStr">
        <is>
          <t>Maintenance/reference sheet only.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6.43000030517578" customWidth="1" style="355" min="1" max="1"/>
    <col width="11.17000007629395" customWidth="1" style="355" min="2" max="2"/>
    <col width="5.650000095367432" customWidth="1" style="355" min="3" max="3"/>
    <col width="13.1899995803833" customWidth="1" style="355" min="4" max="4"/>
    <col width="6.730000019073486" customWidth="1" style="355" min="5" max="5"/>
    <col width="55.59000015258789" customWidth="1" style="355" min="6" max="6"/>
  </cols>
  <sheetData>
    <row r="1">
      <c r="A1" s="470" t="inlineStr">
        <is>
          <t>Release Item</t>
        </is>
      </c>
      <c r="B1" s="470" t="inlineStr">
        <is>
          <t>Status</t>
        </is>
      </c>
      <c r="C1" s="470" t="inlineStr">
        <is>
          <t>Owner</t>
        </is>
      </c>
      <c r="D1" s="470" t="inlineStr">
        <is>
          <t>Verification Date</t>
        </is>
      </c>
      <c r="E1" s="470" t="inlineStr">
        <is>
          <t>Blocker?</t>
        </is>
      </c>
      <c r="F1" s="470" t="inlineStr">
        <is>
          <t>Notes</t>
        </is>
      </c>
    </row>
    <row r="2">
      <c r="A2" s="348" t="inlineStr">
        <is>
          <t>Clean ZIP excludes historical reports</t>
        </is>
      </c>
      <c r="B2" s="348" t="inlineStr">
        <is>
          <t>Pass</t>
        </is>
      </c>
      <c r="C2" s="348" t="inlineStr">
        <is>
          <t>Project</t>
        </is>
      </c>
      <c r="D2" s="348" t="inlineStr">
        <is>
          <t>2026-06-07</t>
        </is>
      </c>
      <c r="E2" s="348" t="inlineStr">
        <is>
          <t>No</t>
        </is>
      </c>
      <c r="F2" s="348" t="inlineStr">
        <is>
          <t>Deployment package remains uncluttered.</t>
        </is>
      </c>
    </row>
    <row r="3">
      <c r="A3" s="348" t="inlineStr">
        <is>
          <t>Approved UI preserved</t>
        </is>
      </c>
      <c r="B3" s="348" t="inlineStr">
        <is>
          <t>Pass</t>
        </is>
      </c>
      <c r="C3" s="348" t="inlineStr">
        <is>
          <t>Project</t>
        </is>
      </c>
      <c r="D3" s="348" t="inlineStr">
        <is>
          <t>2026-06-07</t>
        </is>
      </c>
      <c r="E3" s="348" t="inlineStr">
        <is>
          <t>No</t>
        </is>
      </c>
      <c r="F3" s="348" t="inlineStr">
        <is>
          <t>No visual redesign performed.</t>
        </is>
      </c>
    </row>
    <row r="4">
      <c r="A4" s="348" t="inlineStr">
        <is>
          <t>Workbook included as Auto_Insurance_Requirements.xlsx</t>
        </is>
      </c>
      <c r="B4" s="348" t="inlineStr">
        <is>
          <t>Pass</t>
        </is>
      </c>
      <c r="C4" s="348" t="inlineStr">
        <is>
          <t>Project</t>
        </is>
      </c>
      <c r="D4" s="348" t="inlineStr">
        <is>
          <t>2026-06-07</t>
        </is>
      </c>
      <c r="E4" s="348" t="inlineStr">
        <is>
          <t>No</t>
        </is>
      </c>
      <c r="F4" s="348" t="inlineStr">
        <is>
          <t>Filename matches index.html reference.</t>
        </is>
      </c>
    </row>
    <row r="5">
      <c r="A5" s="348" t="inlineStr">
        <is>
          <t>Minimums dataset available to website</t>
        </is>
      </c>
      <c r="B5" s="348" t="inlineStr">
        <is>
          <t>Pass</t>
        </is>
      </c>
      <c r="C5" s="348" t="inlineStr">
        <is>
          <t>Project</t>
        </is>
      </c>
      <c r="D5" s="348" t="inlineStr">
        <is>
          <t>2026-06-07</t>
        </is>
      </c>
      <c r="E5" s="348" t="inlineStr">
        <is>
          <t>No</t>
        </is>
      </c>
      <c r="F5" s="348" t="inlineStr">
        <is>
          <t>50-state production sheet present.</t>
        </is>
      </c>
    </row>
    <row r="6">
      <c r="A6" s="348" t="inlineStr">
        <is>
          <t>Policy Disclosure dataset available to website</t>
        </is>
      </c>
      <c r="B6" s="348" t="inlineStr">
        <is>
          <t>Pass</t>
        </is>
      </c>
      <c r="C6" s="348" t="inlineStr">
        <is>
          <t>Project</t>
        </is>
      </c>
      <c r="D6" s="348" t="inlineStr">
        <is>
          <t>2026-06-07</t>
        </is>
      </c>
      <c r="E6" s="348" t="inlineStr">
        <is>
          <t>No</t>
        </is>
      </c>
      <c r="F6" s="348" t="inlineStr">
        <is>
          <t>50-state production sheet present and surfaced.</t>
        </is>
      </c>
    </row>
    <row r="7">
      <c r="A7" s="348" t="inlineStr">
        <is>
          <t>Claims Deadlines dataset available in workbook</t>
        </is>
      </c>
      <c r="B7" s="348" t="inlineStr">
        <is>
          <t>Pass</t>
        </is>
      </c>
      <c r="C7" s="348" t="inlineStr">
        <is>
          <t>Project</t>
        </is>
      </c>
      <c r="D7" s="348" t="inlineStr">
        <is>
          <t>2026-06-07</t>
        </is>
      </c>
      <c r="E7" s="348" t="inlineStr">
        <is>
          <t>No</t>
        </is>
      </c>
      <c r="F7" s="348" t="inlineStr">
        <is>
          <t>50-state website-ready sheet present.</t>
        </is>
      </c>
    </row>
    <row r="8">
      <c r="A8" s="348" t="inlineStr">
        <is>
          <t>Claims Deadlines displayed on website</t>
        </is>
      </c>
      <c r="B8" s="348" t="inlineStr">
        <is>
          <t>Needs Review</t>
        </is>
      </c>
      <c r="C8" s="348" t="inlineStr">
        <is>
          <t>Project</t>
        </is>
      </c>
      <c r="D8" s="348" t="inlineStr">
        <is>
          <t>2026-06-07</t>
        </is>
      </c>
      <c r="E8" s="348" t="inlineStr">
        <is>
          <t>No</t>
        </is>
      </c>
      <c r="F8" s="348" t="inlineStr">
        <is>
          <t>Not a release blocker unless Claims display is part of this deployment.</t>
        </is>
      </c>
    </row>
    <row r="9">
      <c r="A9" s="348" t="inlineStr">
        <is>
          <t>Bad Faith dataset completion</t>
        </is>
      </c>
      <c r="B9" s="348" t="inlineStr">
        <is>
          <t>Needs Review</t>
        </is>
      </c>
      <c r="C9" s="348" t="inlineStr">
        <is>
          <t>Project</t>
        </is>
      </c>
      <c r="D9" s="348" t="inlineStr">
        <is>
          <t>2026-06-07</t>
        </is>
      </c>
      <c r="E9" s="348" t="inlineStr">
        <is>
          <t>No</t>
        </is>
      </c>
      <c r="F9" s="348" t="inlineStr">
        <is>
          <t>Idaho missing per D3 validation; not surfaced on website.</t>
        </is>
      </c>
    </row>
    <row r="10">
      <c r="A10" s="348" t="inlineStr">
        <is>
          <t>Comparative Negligence completion</t>
        </is>
      </c>
      <c r="B10" s="348" t="inlineStr">
        <is>
          <t>Needs Review</t>
        </is>
      </c>
      <c r="C10" s="348" t="inlineStr">
        <is>
          <t>Project</t>
        </is>
      </c>
      <c r="D10" s="348" t="inlineStr">
        <is>
          <t>2026-06-07</t>
        </is>
      </c>
      <c r="E10" s="348" t="inlineStr">
        <is>
          <t>No</t>
        </is>
      </c>
      <c r="F10" s="348" t="inlineStr">
        <is>
          <t>10 states missing; not surfaced on website.</t>
        </is>
      </c>
    </row>
    <row r="11">
      <c r="A11" s="348" t="inlineStr">
        <is>
          <t>Source Index maintenance framework</t>
        </is>
      </c>
      <c r="B11" s="348" t="inlineStr">
        <is>
          <t>Pass</t>
        </is>
      </c>
      <c r="C11" s="348" t="inlineStr">
        <is>
          <t>Project</t>
        </is>
      </c>
      <c r="D11" s="348" t="inlineStr">
        <is>
          <t>2026-06-07</t>
        </is>
      </c>
      <c r="E11" s="348" t="inlineStr">
        <is>
          <t>No</t>
        </is>
      </c>
      <c r="F11" s="348" t="inlineStr">
        <is>
          <t>Annual review framework present.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1.21999931335449" customWidth="1" style="355" min="1" max="1"/>
    <col width="46.97000122070312" customWidth="1" style="355" min="2" max="2"/>
  </cols>
  <sheetData>
    <row r="1">
      <c r="A1" s="470" t="inlineStr">
        <is>
          <t>D5 Summary</t>
        </is>
      </c>
      <c r="B1" s="470" t="inlineStr">
        <is>
          <t>D5 Summary</t>
        </is>
      </c>
    </row>
    <row r="2">
      <c r="A2" s="473" t="inlineStr">
        <is>
          <t>Metric</t>
        </is>
      </c>
      <c r="B2" s="473" t="inlineStr">
        <is>
          <t>Value</t>
        </is>
      </c>
    </row>
    <row r="3">
      <c r="A3" s="348" t="inlineStr">
        <is>
          <t>Phase</t>
        </is>
      </c>
      <c r="B3" s="348" t="inlineStr">
        <is>
          <t>D5 Website Integration QA / Clean Release Baseline</t>
        </is>
      </c>
    </row>
    <row r="4">
      <c r="A4" s="348" t="inlineStr">
        <is>
          <t>Clean deployment files</t>
        </is>
      </c>
      <c r="B4" s="348" t="inlineStr">
        <is>
          <t>4</t>
        </is>
      </c>
    </row>
    <row r="5">
      <c r="A5" s="348" t="inlineStr">
        <is>
          <t>Old reports in deployment ZIP</t>
        </is>
      </c>
      <c r="B5" s="348" t="inlineStr">
        <is>
          <t>0</t>
        </is>
      </c>
    </row>
    <row r="6">
      <c r="A6" s="348" t="inlineStr">
        <is>
          <t>Approved UI modified</t>
        </is>
      </c>
      <c r="B6" s="348" t="inlineStr">
        <is>
          <t>No</t>
        </is>
      </c>
    </row>
    <row r="7">
      <c r="A7" s="348" t="inlineStr">
        <is>
          <t>Minimums surfaced</t>
        </is>
      </c>
      <c r="B7" s="348" t="inlineStr">
        <is>
          <t>Yes</t>
        </is>
      </c>
    </row>
    <row r="8">
      <c r="A8" s="348" t="inlineStr">
        <is>
          <t>Policy Disclosure surfaced</t>
        </is>
      </c>
      <c r="B8" s="348" t="inlineStr">
        <is>
          <t>Yes</t>
        </is>
      </c>
    </row>
    <row r="9">
      <c r="A9" s="348" t="inlineStr">
        <is>
          <t>Claims Deadlines surfaced</t>
        </is>
      </c>
      <c r="B9" s="348" t="inlineStr">
        <is>
          <t>No — workbook-ready only</t>
        </is>
      </c>
    </row>
    <row r="10">
      <c r="A10" s="348" t="inlineStr">
        <is>
          <t>Release blockers</t>
        </is>
      </c>
      <c r="B10" s="348" t="inlineStr">
        <is>
          <t>0</t>
        </is>
      </c>
    </row>
    <row r="11">
      <c r="A11" s="348" t="inlineStr">
        <is>
          <t>Medium-priority website-surface items</t>
        </is>
      </c>
      <c r="B11" s="348" t="inlineStr">
        <is>
          <t>1 — Claims Deadlines display integration</t>
        </is>
      </c>
    </row>
    <row r="12">
      <c r="A12" s="348" t="inlineStr">
        <is>
          <t>Next recommended phase</t>
        </is>
      </c>
      <c r="B12" s="348" t="inlineStr">
        <is>
          <t>D6 Claims Deadlines non-redesign website integration plan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.97000122070312" customWidth="1" style="355" min="1" max="1"/>
    <col width="4.980000019073486" customWidth="1" style="355" min="2" max="2"/>
    <col width="55" customWidth="1" style="355" min="3" max="3"/>
  </cols>
  <sheetData>
    <row r="1">
      <c r="A1" s="476" t="inlineStr">
        <is>
          <t>Item</t>
        </is>
      </c>
      <c r="B1" s="476" t="inlineStr">
        <is>
          <t>Status</t>
        </is>
      </c>
      <c r="C1" s="476" t="inlineStr">
        <is>
          <t>Evidence / Notes</t>
        </is>
      </c>
    </row>
    <row r="2">
      <c r="A2" s="348" t="inlineStr">
        <is>
          <t>Claims_Deadlines_Website sheet present</t>
        </is>
      </c>
      <c r="B2" s="348" t="inlineStr">
        <is>
          <t>Pass</t>
        </is>
      </c>
      <c r="C2" s="348" t="inlineStr">
        <is>
          <t>Workbook includes 50 website-ready claims deadline rows.</t>
        </is>
      </c>
    </row>
    <row r="3">
      <c r="A3" s="348" t="inlineStr">
        <is>
          <t>Website parser added</t>
        </is>
      </c>
      <c r="B3" s="348" t="inlineStr">
        <is>
          <t>Pass</t>
        </is>
      </c>
      <c r="C3" s="348" t="inlineStr">
        <is>
          <t>index.html now reads Claims_Deadlines_Website using State, Ack Deadline, Investigation Deadline, Payment Deadline, Notes, Citation, URL.</t>
        </is>
      </c>
    </row>
    <row r="4">
      <c r="A4" s="348" t="inlineStr">
        <is>
          <t>State detail panel surfaced</t>
        </is>
      </c>
      <c r="B4" s="348" t="inlineStr">
        <is>
          <t>Pass</t>
        </is>
      </c>
      <c r="C4" s="348" t="inlineStr">
        <is>
          <t>Claims Handling Deadlines section added below Policy Disclosure without redesigning layout.</t>
        </is>
      </c>
    </row>
    <row r="5">
      <c r="A5" s="348" t="inlineStr">
        <is>
          <t>Sources section updated</t>
        </is>
      </c>
      <c r="B5" s="348" t="inlineStr">
        <is>
          <t>Pass</t>
        </is>
      </c>
      <c r="C5" s="348" t="inlineStr">
        <is>
          <t>Claims Handling Deadline Source link added to Sources panel.</t>
        </is>
      </c>
    </row>
    <row r="6">
      <c r="A6" s="348" t="inlineStr">
        <is>
          <t>Search fields updated</t>
        </is>
      </c>
      <c r="B6" s="348" t="inlineStr">
        <is>
          <t>Pass</t>
        </is>
      </c>
      <c r="C6" s="348" t="inlineStr">
        <is>
          <t>Search can match acknowledgment, investigation, payment, and claims notes.</t>
        </is>
      </c>
    </row>
    <row r="7">
      <c r="A7" s="348" t="inlineStr">
        <is>
          <t>Approved UI preserved</t>
        </is>
      </c>
      <c r="B7" s="348" t="inlineStr">
        <is>
          <t>Pass</t>
        </is>
      </c>
      <c r="C7" s="348" t="inlineStr">
        <is>
          <t>No color, map, layout, ocean label, or visual redesign changes made.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.47999954223633" customWidth="1" style="355" min="1" max="1"/>
    <col width="4.980000019073486" customWidth="1" style="355" min="2" max="2"/>
    <col width="55" customWidth="1" style="355" min="3" max="3"/>
  </cols>
  <sheetData>
    <row r="1">
      <c r="A1" s="476" t="inlineStr">
        <is>
          <t>Check</t>
        </is>
      </c>
      <c r="B1" s="476" t="inlineStr">
        <is>
          <t>Result</t>
        </is>
      </c>
      <c r="C1" s="476" t="inlineStr">
        <is>
          <t>Notes</t>
        </is>
      </c>
    </row>
    <row r="2">
      <c r="A2" s="348" t="inlineStr">
        <is>
          <t>Clean deployment file count</t>
        </is>
      </c>
      <c r="B2" s="348" t="inlineStr">
        <is>
          <t>Pass</t>
        </is>
      </c>
      <c r="C2" s="348" t="inlineStr">
        <is>
          <t>Package contains index.html, reference-icon.png, README.md, Auto_Insurance_Requirements.xlsx only.</t>
        </is>
      </c>
    </row>
    <row r="3">
      <c r="A3" s="348" t="inlineStr">
        <is>
          <t>Claims sheet row count</t>
        </is>
      </c>
      <c r="B3" s="348" t="inlineStr">
        <is>
          <t>Pass</t>
        </is>
      </c>
      <c r="C3" s="348" t="inlineStr">
        <is>
          <t>Claims_Deadlines_Website contains 50 state rows.</t>
        </is>
      </c>
    </row>
    <row r="4">
      <c r="A4" s="348" t="inlineStr">
        <is>
          <t>Claims unique states</t>
        </is>
      </c>
      <c r="B4" s="348" t="inlineStr">
        <is>
          <t>Pass</t>
        </is>
      </c>
      <c r="C4" s="348" t="inlineStr">
        <is>
          <t>Expected 50 unique states.</t>
        </is>
      </c>
    </row>
    <row r="5">
      <c r="A5" s="348" t="inlineStr">
        <is>
          <t>Claims citations present</t>
        </is>
      </c>
      <c r="B5" s="348" t="inlineStr">
        <is>
          <t>Pass</t>
        </is>
      </c>
      <c r="C5" s="348" t="inlineStr">
        <is>
          <t>No missing citation flags from C8 validation.</t>
        </is>
      </c>
    </row>
    <row r="6">
      <c r="A6" s="348" t="inlineStr">
        <is>
          <t>Claims URLs present</t>
        </is>
      </c>
      <c r="B6" s="348" t="inlineStr">
        <is>
          <t>Pass</t>
        </is>
      </c>
      <c r="C6" s="348" t="inlineStr">
        <is>
          <t>No missing URL flags from C8 validation.</t>
        </is>
      </c>
    </row>
    <row r="7">
      <c r="A7" s="348" t="inlineStr">
        <is>
          <t>Non-redesign integration</t>
        </is>
      </c>
      <c r="B7" s="348" t="inlineStr">
        <is>
          <t>Pass</t>
        </is>
      </c>
      <c r="C7" s="348" t="inlineStr">
        <is>
          <t>New section uses existing section-title, requirements-grid, metric, notes, and source-group components.</t>
        </is>
      </c>
    </row>
    <row r="8">
      <c r="A8" s="348" t="inlineStr">
        <is>
          <t>Legal data changed</t>
        </is>
      </c>
      <c r="B8" s="348" t="inlineStr">
        <is>
          <t>No</t>
        </is>
      </c>
      <c r="C8" s="348" t="inlineStr">
        <is>
          <t>D6 surfaced existing audited data; no substantive legal data changes made.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.39999961853027" customWidth="1" style="355" min="1" max="1"/>
    <col width="60" customWidth="1" style="355" min="2" max="2"/>
  </cols>
  <sheetData>
    <row r="1">
      <c r="A1" s="476" t="inlineStr">
        <is>
          <t>Field</t>
        </is>
      </c>
      <c r="B1" s="476" t="inlineStr">
        <is>
          <t>Value</t>
        </is>
      </c>
    </row>
    <row r="2">
      <c r="A2" s="348" t="inlineStr">
        <is>
          <t>Phase</t>
        </is>
      </c>
      <c r="B2" s="348" t="inlineStr">
        <is>
          <t>D6 - Claims Deadlines Website Integration</t>
        </is>
      </c>
    </row>
    <row r="3">
      <c r="A3" s="348" t="inlineStr">
        <is>
          <t>Date</t>
        </is>
      </c>
      <c r="B3" s="348" t="inlineStr">
        <is>
          <t>2026-06-07</t>
        </is>
      </c>
    </row>
    <row r="4">
      <c r="A4" s="348" t="inlineStr">
        <is>
          <t>Result</t>
        </is>
      </c>
      <c r="B4" s="348" t="inlineStr">
        <is>
          <t>Pass</t>
        </is>
      </c>
    </row>
    <row r="5">
      <c r="A5" s="348" t="inlineStr">
        <is>
          <t>Workbook Change</t>
        </is>
      </c>
      <c r="B5" s="348" t="inlineStr">
        <is>
          <t>Added D6 audit/QA/summary sheets.</t>
        </is>
      </c>
    </row>
    <row r="6">
      <c r="A6" s="348" t="inlineStr">
        <is>
          <t>Website Change</t>
        </is>
      </c>
      <c r="B6" s="348" t="inlineStr">
        <is>
          <t>Added Claims Handling Deadlines display section and source link.</t>
        </is>
      </c>
    </row>
    <row r="7">
      <c r="A7" s="348" t="inlineStr">
        <is>
          <t>Deployment Package</t>
        </is>
      </c>
      <c r="B7" s="348" t="inlineStr">
        <is>
          <t>Clean ZIP with 4 production files only.</t>
        </is>
      </c>
    </row>
    <row r="8">
      <c r="A8" s="348" t="inlineStr">
        <is>
          <t>Old Reports Removed</t>
        </is>
      </c>
      <c r="B8" s="348" t="inlineStr">
        <is>
          <t>Yes</t>
        </is>
      </c>
    </row>
    <row r="9">
      <c r="A9" s="348" t="inlineStr">
        <is>
          <t>Next Recommended Phase</t>
        </is>
      </c>
      <c r="B9" s="348" t="inlineStr">
        <is>
          <t>D7 - browser smoke test and final release notes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34" customWidth="1" style="355" min="2" max="2"/>
    <col width="18" customWidth="1" style="355" min="3" max="3"/>
    <col width="45" customWidth="1" style="355" min="4" max="4"/>
    <col width="60" customWidth="1" style="355" min="5" max="5"/>
  </cols>
  <sheetData>
    <row r="1">
      <c r="A1" s="479" t="inlineStr">
        <is>
          <t>Area</t>
        </is>
      </c>
      <c r="B1" s="479" t="inlineStr">
        <is>
          <t>Check</t>
        </is>
      </c>
      <c r="C1" s="479" t="inlineStr">
        <is>
          <t>Status</t>
        </is>
      </c>
      <c r="D1" s="479" t="inlineStr">
        <is>
          <t>Finding</t>
        </is>
      </c>
      <c r="E1" s="479" t="inlineStr">
        <is>
          <t>Action / Manual Test</t>
        </is>
      </c>
    </row>
    <row r="2">
      <c r="A2" s="348" t="inlineStr">
        <is>
          <t>Package</t>
        </is>
      </c>
      <c r="B2" s="348" t="inlineStr">
        <is>
          <t>Deployment ZIP contains only production files</t>
        </is>
      </c>
      <c r="C2" s="348" t="inlineStr">
        <is>
          <t>Pass</t>
        </is>
      </c>
      <c r="D2" s="348" t="inlineStr">
        <is>
          <t>Expected files are index.html, reference-icon.png, README.md, Auto_Insurance_Requirements.xlsx.</t>
        </is>
      </c>
      <c r="E2" s="348" t="inlineStr">
        <is>
          <t>No action unless extra files appear in deployment ZIP.</t>
        </is>
      </c>
    </row>
    <row r="3">
      <c r="A3" s="348" t="inlineStr">
        <is>
          <t>Workbook</t>
        </is>
      </c>
      <c r="B3" s="348" t="inlineStr">
        <is>
          <t>Core datasets present</t>
        </is>
      </c>
      <c r="C3" s="348" t="inlineStr">
        <is>
          <t>Pass</t>
        </is>
      </c>
      <c r="D3" s="348" t="inlineStr">
        <is>
          <t>Minimums, Policy Disclosures, Claims_Deadlines_Website, and Source_Index are present.</t>
        </is>
      </c>
      <c r="E3" s="348" t="inlineStr">
        <is>
          <t>Open workbook and confirm sheets are visible.</t>
        </is>
      </c>
    </row>
    <row r="4">
      <c r="A4" s="348" t="inlineStr">
        <is>
          <t>Workbook</t>
        </is>
      </c>
      <c r="B4" s="348" t="inlineStr">
        <is>
          <t>Dataset row counts</t>
        </is>
      </c>
      <c r="C4" s="348" t="inlineStr">
        <is>
          <t>Pass</t>
        </is>
      </c>
      <c r="D4" s="348" t="inlineStr">
        <is>
          <t>Minimums: 50; Policy Disclosures: 50; Claims Deadlines: 50; Source_Index: 288.</t>
        </is>
      </c>
      <c r="E4" s="348" t="inlineStr">
        <is>
          <t>Spot-check Alabama, Florida, New York, Texas, Washington, Wyoming.</t>
        </is>
      </c>
    </row>
    <row r="5">
      <c r="A5" s="348" t="inlineStr">
        <is>
          <t>Website</t>
        </is>
      </c>
      <c r="B5" s="348" t="inlineStr">
        <is>
          <t>Claims Deadlines surfaced</t>
        </is>
      </c>
      <c r="C5" s="348" t="inlineStr">
        <is>
          <t>Pass</t>
        </is>
      </c>
      <c r="D5" s="348" t="inlineStr">
        <is>
          <t>index.html contains Claims Handling Deadlines rendering and claims source links.</t>
        </is>
      </c>
      <c r="E5" s="348" t="inlineStr">
        <is>
          <t>Run local site and confirm each state detail panel shows claims deadlines.</t>
        </is>
      </c>
    </row>
    <row r="6">
      <c r="A6" s="348" t="inlineStr">
        <is>
          <t>Website</t>
        </is>
      </c>
      <c r="B6" s="348" t="inlineStr">
        <is>
          <t>Approved UI preserved</t>
        </is>
      </c>
      <c r="C6" s="348" t="inlineStr">
        <is>
          <t>Pass</t>
        </is>
      </c>
      <c r="D6" s="348" t="inlineStr">
        <is>
          <t>D6/D7 package keeps the approved single-page UI and does not redesign layout.</t>
        </is>
      </c>
      <c r="E6" s="348" t="inlineStr">
        <is>
          <t>Check visual layout against prior approved version.</t>
        </is>
      </c>
    </row>
    <row r="7">
      <c r="A7" s="348" t="inlineStr">
        <is>
          <t>Website</t>
        </is>
      </c>
      <c r="B7" s="348" t="inlineStr">
        <is>
          <t>Local file behavior</t>
        </is>
      </c>
      <c r="C7" s="348" t="inlineStr">
        <is>
          <t>Manual Test Required</t>
        </is>
      </c>
      <c r="D7" s="348" t="inlineStr">
        <is>
          <t>Browser fetch security can block local file loading if opened directly from disk.</t>
        </is>
      </c>
      <c r="E7" s="348" t="inlineStr">
        <is>
          <t>Use a local web server; do not double-click index.html for final test.</t>
        </is>
      </c>
    </row>
    <row r="8">
      <c r="A8" s="348" t="inlineStr">
        <is>
          <t>Website</t>
        </is>
      </c>
      <c r="B8" s="348" t="inlineStr">
        <is>
          <t>External XLSX library dependency</t>
        </is>
      </c>
      <c r="C8" s="348" t="inlineStr">
        <is>
          <t>Manual Test Required</t>
        </is>
      </c>
      <c r="D8" s="348" t="inlineStr">
        <is>
          <t>Site loads SheetJS from CDN fallbacks.</t>
        </is>
      </c>
      <c r="E8" s="348" t="inlineStr">
        <is>
          <t>Test with internet connection; if CDN blocked, workbook will not load.</t>
        </is>
      </c>
    </row>
    <row r="9">
      <c r="A9" s="348" t="inlineStr">
        <is>
          <t>Website</t>
        </is>
      </c>
      <c r="B9" s="348" t="inlineStr">
        <is>
          <t>Source links</t>
        </is>
      </c>
      <c r="C9" s="348" t="inlineStr">
        <is>
          <t>Manual Test Required</t>
        </is>
      </c>
      <c r="D9" s="348" t="inlineStr">
        <is>
          <t>Static check confirms source link logic exists; human click-test still needed.</t>
        </is>
      </c>
      <c r="E9" s="348" t="inlineStr">
        <is>
          <t>Click source links for at least 10 states across all surfaced datasets.</t>
        </is>
      </c>
    </row>
    <row r="10">
      <c r="A10" s="348" t="inlineStr">
        <is>
          <t>Mobile</t>
        </is>
      </c>
      <c r="B10" s="348" t="inlineStr">
        <is>
          <t>Responsive behavior</t>
        </is>
      </c>
      <c r="C10" s="348" t="inlineStr">
        <is>
          <t>Manual Test Required</t>
        </is>
      </c>
      <c r="D10" s="348" t="inlineStr">
        <is>
          <t>Static check cannot confirm mobile interaction quality.</t>
        </is>
      </c>
      <c r="E10" s="348" t="inlineStr">
        <is>
          <t>Test browser responsive mode at 390x844 and 768x1024.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style="355" min="1" max="1"/>
    <col width="80" customWidth="1" style="355" min="2" max="2"/>
    <col width="70" customWidth="1" style="355" min="3" max="3"/>
  </cols>
  <sheetData>
    <row r="1">
      <c r="A1" s="479" t="inlineStr">
        <is>
          <t>Step</t>
        </is>
      </c>
      <c r="B1" s="479" t="inlineStr">
        <is>
          <t>Instruction</t>
        </is>
      </c>
      <c r="C1" s="479" t="inlineStr">
        <is>
          <t>Expected Result</t>
        </is>
      </c>
    </row>
    <row r="2">
      <c r="A2" s="348" t="n">
        <v>1</v>
      </c>
      <c r="B2" s="348" t="inlineStr">
        <is>
          <t>Extract the clean ZIP to a normal local folder such as Desktop\US_Auto_Insurance_D7.</t>
        </is>
      </c>
      <c r="C2" s="348" t="inlineStr">
        <is>
          <t>Folder contains index.html, reference-icon.png, README.md, and Auto_Insurance_Requirements.xlsx.</t>
        </is>
      </c>
    </row>
    <row r="3">
      <c r="A3" s="348" t="n">
        <v>2</v>
      </c>
      <c r="B3" s="348" t="inlineStr">
        <is>
          <t>Open Command Prompt or PowerShell in that extracted folder.</t>
        </is>
      </c>
      <c r="C3" s="348" t="inlineStr">
        <is>
          <t>Terminal path is the folder containing index.html.</t>
        </is>
      </c>
    </row>
    <row r="4">
      <c r="A4" s="348" t="n">
        <v>3</v>
      </c>
      <c r="B4" s="348" t="inlineStr">
        <is>
          <t>Run: python -m http.server 8000</t>
        </is>
      </c>
      <c r="C4" s="348" t="inlineStr">
        <is>
          <t>A local server starts on port 8000.</t>
        </is>
      </c>
    </row>
    <row r="5">
      <c r="A5" s="348" t="n">
        <v>4</v>
      </c>
      <c r="B5" s="348" t="inlineStr">
        <is>
          <t>Open browser to: http://localhost:8000</t>
        </is>
      </c>
      <c r="C5" s="348" t="inlineStr">
        <is>
          <t>Website loads from the local server.</t>
        </is>
      </c>
    </row>
    <row r="6">
      <c r="A6" s="348" t="n">
        <v>5</v>
      </c>
      <c r="B6" s="348" t="inlineStr">
        <is>
          <t>Wait for workbook status message.</t>
        </is>
      </c>
      <c r="C6" s="348" t="inlineStr">
        <is>
          <t>Status should show 50 state rows, 50 policy disclosure rows, and 50 claims deadline rows loaded.</t>
        </is>
      </c>
    </row>
    <row r="7">
      <c r="A7" s="348" t="n">
        <v>6</v>
      </c>
      <c r="B7" s="348" t="inlineStr">
        <is>
          <t>Click or hover multiple states: FL, TX, NY, CA, WA, WY.</t>
        </is>
      </c>
      <c r="C7" s="348" t="inlineStr">
        <is>
          <t>State panel should show minimums, policy disclosure, claims handling deadlines, notes, and source links.</t>
        </is>
      </c>
    </row>
    <row r="8">
      <c r="A8" s="348" t="n">
        <v>7</v>
      </c>
      <c r="B8" s="348" t="inlineStr">
        <is>
          <t>Search for a state by name/abbreviation if the search box is available.</t>
        </is>
      </c>
      <c r="C8" s="348" t="inlineStr">
        <is>
          <t>Expected state should display without breaking map/panel layout.</t>
        </is>
      </c>
    </row>
    <row r="9">
      <c r="A9" s="348" t="n">
        <v>8</v>
      </c>
      <c r="B9" s="348" t="inlineStr">
        <is>
          <t>Use browser dev tools responsive mode at phone and tablet sizes.</t>
        </is>
      </c>
      <c r="C9" s="348" t="inlineStr">
        <is>
          <t>Panel remains readable; no overlapping or cut-off critical data.</t>
        </is>
      </c>
    </row>
    <row r="10">
      <c r="A10" s="348" t="n">
        <v>9</v>
      </c>
      <c r="B10" s="348" t="inlineStr">
        <is>
          <t>Click source links for at least 10 states and all three surfaced datasets.</t>
        </is>
      </c>
      <c r="C10" s="348" t="inlineStr">
        <is>
          <t>Links open in new tab/window and match the cited authority.</t>
        </is>
      </c>
    </row>
    <row r="11">
      <c r="A11" s="348" t="n">
        <v>10</v>
      </c>
      <c r="B11" s="348" t="inlineStr">
        <is>
          <t>Stop the server with Ctrl+C when finished.</t>
        </is>
      </c>
      <c r="C11" s="348" t="inlineStr">
        <is>
          <t>Local test session ends cleanly.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style="355" min="1" max="1"/>
    <col width="18" customWidth="1" style="355" min="2" max="2"/>
    <col width="38" customWidth="1" style="355" min="3" max="3"/>
    <col width="35" customWidth="1" style="355" min="4" max="4"/>
    <col width="65" customWidth="1" style="355" min="5" max="5"/>
    <col width="16" customWidth="1" style="355" min="6" max="6"/>
  </cols>
  <sheetData>
    <row r="1">
      <c r="A1" s="479" t="inlineStr">
        <is>
          <t>Test ID</t>
        </is>
      </c>
      <c r="B1" s="479" t="inlineStr">
        <is>
          <t>Area</t>
        </is>
      </c>
      <c r="C1" s="479" t="inlineStr">
        <is>
          <t>Test</t>
        </is>
      </c>
      <c r="D1" s="479" t="inlineStr">
        <is>
          <t>States / Items</t>
        </is>
      </c>
      <c r="E1" s="479" t="inlineStr">
        <is>
          <t>Expected Result</t>
        </is>
      </c>
      <c r="F1" s="479" t="inlineStr">
        <is>
          <t>Result</t>
        </is>
      </c>
    </row>
    <row r="2">
      <c r="A2" s="348" t="inlineStr">
        <is>
          <t>D7-01</t>
        </is>
      </c>
      <c r="B2" s="348" t="inlineStr">
        <is>
          <t>Load</t>
        </is>
      </c>
      <c r="C2" s="348" t="inlineStr">
        <is>
          <t>Open site from local server</t>
        </is>
      </c>
      <c r="D2" s="348" t="inlineStr">
        <is>
          <t>http://localhost:8000</t>
        </is>
      </c>
      <c r="E2" s="348" t="inlineStr">
        <is>
          <t>Workbook loads with 50/50/50 row status.</t>
        </is>
      </c>
      <c r="F2" s="348" t="inlineStr">
        <is>
          <t>Untested</t>
        </is>
      </c>
    </row>
    <row r="3">
      <c r="A3" s="348" t="inlineStr">
        <is>
          <t>D7-02</t>
        </is>
      </c>
      <c r="B3" s="348" t="inlineStr">
        <is>
          <t>Minimums</t>
        </is>
      </c>
      <c r="C3" s="348" t="inlineStr">
        <is>
          <t>Verify minimum limits render</t>
        </is>
      </c>
      <c r="D3" s="348" t="inlineStr">
        <is>
          <t>AL, FL, NY, TX, CA</t>
        </is>
      </c>
      <c r="E3" s="348" t="inlineStr">
        <is>
          <t>BI/PD/PIP/UM/UIM fields display and sources are present.</t>
        </is>
      </c>
      <c r="F3" s="348" t="inlineStr">
        <is>
          <t>Untested</t>
        </is>
      </c>
    </row>
    <row r="4">
      <c r="A4" s="348" t="inlineStr">
        <is>
          <t>D7-03</t>
        </is>
      </c>
      <c r="B4" s="348" t="inlineStr">
        <is>
          <t>Policy Disclosure</t>
        </is>
      </c>
      <c r="C4" s="348" t="inlineStr">
        <is>
          <t>Verify disclosure section renders</t>
        </is>
      </c>
      <c r="D4" s="348" t="inlineStr">
        <is>
          <t>CA, FL, GA, IL, TX, WA</t>
        </is>
      </c>
      <c r="E4" s="348" t="inlineStr">
        <is>
          <t>Disclosure requirement, requestor, deadline, required info, notes, and source show.</t>
        </is>
      </c>
      <c r="F4" s="348" t="inlineStr">
        <is>
          <t>Untested</t>
        </is>
      </c>
    </row>
    <row r="5">
      <c r="A5" s="348" t="inlineStr">
        <is>
          <t>D7-04</t>
        </is>
      </c>
      <c r="B5" s="348" t="inlineStr">
        <is>
          <t>Claims Deadlines</t>
        </is>
      </c>
      <c r="C5" s="348" t="inlineStr">
        <is>
          <t>Verify claims deadlines render</t>
        </is>
      </c>
      <c r="D5" s="348" t="inlineStr">
        <is>
          <t>AL, NM, ND, RI, TX, WA, WY</t>
        </is>
      </c>
      <c r="E5" s="348" t="inlineStr">
        <is>
          <t>Acknowledgment, investigation, payment, notes, citation, and source link show.</t>
        </is>
      </c>
      <c r="F5" s="348" t="inlineStr">
        <is>
          <t>Untested</t>
        </is>
      </c>
    </row>
    <row r="6">
      <c r="A6" s="348" t="inlineStr">
        <is>
          <t>D7-05</t>
        </is>
      </c>
      <c r="B6" s="348" t="inlineStr">
        <is>
          <t>Sources</t>
        </is>
      </c>
      <c r="C6" s="348" t="inlineStr">
        <is>
          <t>Click source links</t>
        </is>
      </c>
      <c r="D6" s="348" t="inlineStr">
        <is>
          <t>At least 10 states</t>
        </is>
      </c>
      <c r="E6" s="348" t="inlineStr">
        <is>
          <t>Links open and correspond to cited authority.</t>
        </is>
      </c>
      <c r="F6" s="348" t="inlineStr">
        <is>
          <t>Untested</t>
        </is>
      </c>
    </row>
    <row r="7">
      <c r="A7" s="348" t="inlineStr">
        <is>
          <t>D7-06</t>
        </is>
      </c>
      <c r="B7" s="348" t="inlineStr">
        <is>
          <t>Search</t>
        </is>
      </c>
      <c r="C7" s="348" t="inlineStr">
        <is>
          <t>Search state names/abbreviations</t>
        </is>
      </c>
      <c r="D7" s="348" t="inlineStr">
        <is>
          <t>FL, Texas, Washington, WY</t>
        </is>
      </c>
      <c r="E7" s="348" t="inlineStr">
        <is>
          <t>Correct state displays and search does not crash.</t>
        </is>
      </c>
      <c r="F7" s="348" t="inlineStr">
        <is>
          <t>Untested</t>
        </is>
      </c>
    </row>
    <row r="8">
      <c r="A8" s="348" t="inlineStr">
        <is>
          <t>D7-07</t>
        </is>
      </c>
      <c r="B8" s="348" t="inlineStr">
        <is>
          <t>Hover/Click</t>
        </is>
      </c>
      <c r="C8" s="348" t="inlineStr">
        <is>
          <t>Map interaction</t>
        </is>
      </c>
      <c r="D8" s="348" t="inlineStr">
        <is>
          <t>Small northeastern states + large western states</t>
        </is>
      </c>
      <c r="E8" s="348" t="inlineStr">
        <is>
          <t>Hover/click panel remains stable and correct.</t>
        </is>
      </c>
      <c r="F8" s="348" t="inlineStr">
        <is>
          <t>Untested</t>
        </is>
      </c>
    </row>
    <row r="9">
      <c r="A9" s="348" t="inlineStr">
        <is>
          <t>D7-08</t>
        </is>
      </c>
      <c r="B9" s="348" t="inlineStr">
        <is>
          <t>Mobile</t>
        </is>
      </c>
      <c r="C9" s="348" t="inlineStr">
        <is>
          <t>Responsive phone view</t>
        </is>
      </c>
      <c r="D9" s="348" t="inlineStr">
        <is>
          <t>390x844</t>
        </is>
      </c>
      <c r="E9" s="348" t="inlineStr">
        <is>
          <t>Content remains readable with no critical clipping.</t>
        </is>
      </c>
      <c r="F9" s="348" t="inlineStr">
        <is>
          <t>Untested</t>
        </is>
      </c>
    </row>
    <row r="10">
      <c r="A10" s="348" t="inlineStr">
        <is>
          <t>D7-09</t>
        </is>
      </c>
      <c r="B10" s="348" t="inlineStr">
        <is>
          <t>Tablet</t>
        </is>
      </c>
      <c r="C10" s="348" t="inlineStr">
        <is>
          <t>Responsive tablet view</t>
        </is>
      </c>
      <c r="D10" s="348" t="inlineStr">
        <is>
          <t>768x1024</t>
        </is>
      </c>
      <c r="E10" s="348" t="inlineStr">
        <is>
          <t>Map and panel remain usable.</t>
        </is>
      </c>
      <c r="F10" s="348" t="inlineStr">
        <is>
          <t>Untested</t>
        </is>
      </c>
    </row>
    <row r="11">
      <c r="A11" s="348" t="inlineStr">
        <is>
          <t>D7-10</t>
        </is>
      </c>
      <c r="B11" s="348" t="inlineStr">
        <is>
          <t>No clutter</t>
        </is>
      </c>
      <c r="C11" s="348" t="inlineStr">
        <is>
          <t>ZIP contents</t>
        </is>
      </c>
      <c r="D11" s="348" t="inlineStr">
        <is>
          <t>Deployment ZIP root</t>
        </is>
      </c>
      <c r="E11" s="348" t="inlineStr">
        <is>
          <t>Only index.html, reference-icon.png, README.md, Auto_Insurance_Requirements.xlsx.</t>
        </is>
      </c>
      <c r="F11" s="348" t="inlineStr">
        <is>
          <t>Untested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style="355" min="1" max="1"/>
    <col width="55" customWidth="1" style="355" min="2" max="2"/>
    <col width="35" customWidth="1" style="355" min="3" max="3"/>
    <col width="60" customWidth="1" style="355" min="4" max="4"/>
  </cols>
  <sheetData>
    <row r="1">
      <c r="A1" s="479" t="inlineStr">
        <is>
          <t>Dataset / Field</t>
        </is>
      </c>
      <c r="B1" s="479" t="inlineStr">
        <is>
          <t>Meaning</t>
        </is>
      </c>
      <c r="C1" s="479" t="inlineStr">
        <is>
          <t>Website Surface</t>
        </is>
      </c>
      <c r="D1" s="479" t="inlineStr">
        <is>
          <t>Maintenance Notes</t>
        </is>
      </c>
    </row>
    <row r="2">
      <c r="A2" s="348" t="inlineStr">
        <is>
          <t>Auto Insurance Minimums / State</t>
        </is>
      </c>
      <c r="B2" s="348" t="inlineStr">
        <is>
          <t>Full state name</t>
        </is>
      </c>
      <c r="C2" s="348" t="inlineStr">
        <is>
          <t>Map state selection and detail title</t>
        </is>
      </c>
      <c r="D2" s="348" t="inlineStr">
        <is>
          <t>Must match state names in all datasets.</t>
        </is>
      </c>
    </row>
    <row r="3">
      <c r="A3" s="348" t="inlineStr">
        <is>
          <t>Auto Insurance Minimums / BI, PD, PIP, UM, UIM</t>
        </is>
      </c>
      <c r="B3" s="348" t="inlineStr">
        <is>
          <t>Minimum coverage and related requirement fields</t>
        </is>
      </c>
      <c r="C3" s="348" t="inlineStr">
        <is>
          <t>State detail panel</t>
        </is>
      </c>
      <c r="D3" s="348" t="inlineStr">
        <is>
          <t>Use concise public-facing text.</t>
        </is>
      </c>
    </row>
    <row r="4">
      <c r="A4" s="348" t="inlineStr">
        <is>
          <t>Policy Disclosures / Disclosure Required</t>
        </is>
      </c>
      <c r="B4" s="348" t="inlineStr">
        <is>
          <t>Whether pre-suit or litigation disclosure is required</t>
        </is>
      </c>
      <c r="C4" s="348" t="inlineStr">
        <is>
          <t>Policy disclosure section</t>
        </is>
      </c>
      <c r="D4" s="348" t="inlineStr">
        <is>
          <t>Do not overstate where only discovery rules apply.</t>
        </is>
      </c>
    </row>
    <row r="5">
      <c r="A5" s="348" t="inlineStr">
        <is>
          <t>Policy Disclosures / Deadline</t>
        </is>
      </c>
      <c r="B5" s="348" t="inlineStr">
        <is>
          <t>Disclosure timing or discovery-only timing</t>
        </is>
      </c>
      <c r="C5" s="348" t="inlineStr">
        <is>
          <t>Policy disclosure section</t>
        </is>
      </c>
      <c r="D5" s="348" t="inlineStr">
        <is>
          <t>Use fixed deadline only when supported by authority.</t>
        </is>
      </c>
    </row>
    <row r="6">
      <c r="A6" s="348" t="inlineStr">
        <is>
          <t>Claims_Deadlines_Website / Ack Deadline</t>
        </is>
      </c>
      <c r="B6" s="348" t="inlineStr">
        <is>
          <t>Acknowledgment deadline</t>
        </is>
      </c>
      <c r="C6" s="348" t="inlineStr">
        <is>
          <t>Claims handling section</t>
        </is>
      </c>
      <c r="D6" s="348" t="inlineStr">
        <is>
          <t>Use trigger-specific wording where possible.</t>
        </is>
      </c>
    </row>
    <row r="7">
      <c r="A7" s="348" t="inlineStr">
        <is>
          <t>Claims_Deadlines_Website / Investigation Deadline</t>
        </is>
      </c>
      <c r="B7" s="348" t="inlineStr">
        <is>
          <t>Investigation / status deadline</t>
        </is>
      </c>
      <c r="C7" s="348" t="inlineStr">
        <is>
          <t>Claims handling section</t>
        </is>
      </c>
      <c r="D7" s="348" t="inlineStr">
        <is>
          <t>Use Reasonable Time when no fixed deadline exists.</t>
        </is>
      </c>
    </row>
    <row r="8">
      <c r="A8" s="348" t="inlineStr">
        <is>
          <t>Claims_Deadlines_Website / Payment Deadline</t>
        </is>
      </c>
      <c r="B8" s="348" t="inlineStr">
        <is>
          <t>Payment deadline</t>
        </is>
      </c>
      <c r="C8" s="348" t="inlineStr">
        <is>
          <t>Claims handling section</t>
        </is>
      </c>
      <c r="D8" s="348" t="inlineStr">
        <is>
          <t>Include trigger in notes when payment runs from proof/acceptance/agreement.</t>
        </is>
      </c>
    </row>
    <row r="9">
      <c r="A9" s="348" t="inlineStr">
        <is>
          <t>Source_Index / Last Verified</t>
        </is>
      </c>
      <c r="B9" s="348" t="inlineStr">
        <is>
          <t>Date source was last checked</t>
        </is>
      </c>
      <c r="C9" s="348" t="inlineStr">
        <is>
          <t>Maintenance only</t>
        </is>
      </c>
      <c r="D9" s="348" t="inlineStr">
        <is>
          <t>Annual update workflow should refresh this date.</t>
        </is>
      </c>
    </row>
    <row r="10">
      <c r="A10" s="348" t="inlineStr">
        <is>
          <t>Source_Index / Next Review</t>
        </is>
      </c>
      <c r="B10" s="348" t="inlineStr">
        <is>
          <t>Target review date</t>
        </is>
      </c>
      <c r="C10" s="348" t="inlineStr">
        <is>
          <t>Maintenance only</t>
        </is>
      </c>
      <c r="D10" s="348" t="inlineStr">
        <is>
          <t>Default annual cadence unless authority is volatile.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355" min="1" max="1"/>
    <col width="90" customWidth="1" style="355" min="2" max="2"/>
  </cols>
  <sheetData>
    <row r="1">
      <c r="A1" s="479" t="inlineStr">
        <is>
          <t>Item</t>
        </is>
      </c>
      <c r="B1" s="479" t="inlineStr">
        <is>
          <t>Result</t>
        </is>
      </c>
    </row>
    <row r="2">
      <c r="A2" s="348" t="inlineStr">
        <is>
          <t>Phase</t>
        </is>
      </c>
      <c r="B2" s="348" t="inlineStr">
        <is>
          <t>D7 Production Readiness / Local Testing Package</t>
        </is>
      </c>
    </row>
    <row r="3">
      <c r="A3" s="348" t="inlineStr">
        <is>
          <t>Website package</t>
        </is>
      </c>
      <c r="B3" s="348" t="inlineStr">
        <is>
          <t>Clean production files only</t>
        </is>
      </c>
    </row>
    <row r="4">
      <c r="A4" s="348" t="inlineStr">
        <is>
          <t>Workbook</t>
        </is>
      </c>
      <c r="B4" s="348" t="inlineStr">
        <is>
          <t>D7 audit, test instructions, manual test cases, and data dictionary added</t>
        </is>
      </c>
    </row>
    <row r="5">
      <c r="A5" s="348" t="inlineStr">
        <is>
          <t>Legal data research</t>
        </is>
      </c>
      <c r="B5" s="348" t="inlineStr">
        <is>
          <t>No new legal research performed in D7; this is integration/release QA</t>
        </is>
      </c>
    </row>
    <row r="6">
      <c r="A6" s="348" t="inlineStr">
        <is>
          <t>Known manual dependency</t>
        </is>
      </c>
      <c r="B6" s="348" t="inlineStr">
        <is>
          <t>Local browser test required for final visual and interaction validation</t>
        </is>
      </c>
    </row>
    <row r="7">
      <c r="A7" s="348" t="inlineStr">
        <is>
          <t>Recommended next step</t>
        </is>
      </c>
      <c r="B7" s="348" t="inlineStr">
        <is>
          <t>User runs local testing checklist, then report any display/link issues for patching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style="355" min="1" max="1"/>
    <col width="28" customWidth="1" style="355" min="2" max="2"/>
    <col width="28" customWidth="1" style="355" min="3" max="3"/>
    <col width="28" customWidth="1" style="355" min="4" max="4"/>
    <col width="28" customWidth="1" style="355" min="5" max="5"/>
  </cols>
  <sheetData>
    <row r="1">
      <c r="A1" s="483" t="inlineStr">
        <is>
          <t>Area</t>
        </is>
      </c>
      <c r="B1" s="483" t="inlineStr">
        <is>
          <t>Status</t>
        </is>
      </c>
      <c r="C1" s="483" t="inlineStr">
        <is>
          <t>Evidence</t>
        </is>
      </c>
      <c r="D1" s="483" t="inlineStr">
        <is>
          <t>Action</t>
        </is>
      </c>
      <c r="E1" s="483" t="inlineStr">
        <is>
          <t>Result</t>
        </is>
      </c>
    </row>
    <row r="2">
      <c r="A2" s="348" t="inlineStr">
        <is>
          <t>Minimum requirements display</t>
        </is>
      </c>
      <c r="B2" s="348" t="inlineStr">
        <is>
          <t>Pass - user confirmed</t>
        </is>
      </c>
      <c r="C2" s="348" t="inlineStr">
        <is>
          <t>Minimum requirements are now showing in local test</t>
        </is>
      </c>
      <c r="D2" s="348" t="inlineStr">
        <is>
          <t>Keep D8 mapping fix</t>
        </is>
      </c>
      <c r="E2" s="348" t="inlineStr">
        <is>
          <t>Closed</t>
        </is>
      </c>
    </row>
    <row r="3">
      <c r="A3" s="348" t="inlineStr">
        <is>
          <t>Minimums sheet selection</t>
        </is>
      </c>
      <c r="B3" s="348" t="inlineStr">
        <is>
          <t>Hardened</t>
        </is>
      </c>
      <c r="C3" s="348" t="inlineStr">
        <is>
          <t>Loader now requires BI/PD field coverage and does not prefer claims sheets for minimums</t>
        </is>
      </c>
      <c r="D3" s="348" t="inlineStr">
        <is>
          <t>Remove claims sheet from minimums preferred list</t>
        </is>
      </c>
      <c r="E3" s="348" t="inlineStr">
        <is>
          <t>Patched in D9</t>
        </is>
      </c>
    </row>
    <row r="4">
      <c r="A4" s="348" t="inlineStr">
        <is>
          <t>Claims deadlines display</t>
        </is>
      </c>
      <c r="B4" s="348" t="inlineStr">
        <is>
          <t>Retest required</t>
        </is>
      </c>
      <c r="C4" s="348" t="inlineStr">
        <is>
          <t>D6/D7 integration surfaced claims in state detail panel</t>
        </is>
      </c>
      <c r="D4" s="348" t="inlineStr">
        <is>
          <t>Test FL, TX, WA, WY</t>
        </is>
      </c>
      <c r="E4" s="348" t="inlineStr">
        <is>
          <t>Manual QA</t>
        </is>
      </c>
    </row>
    <row r="5">
      <c r="A5" s="348" t="inlineStr">
        <is>
          <t>Policy disclosure display</t>
        </is>
      </c>
      <c r="B5" s="348" t="inlineStr">
        <is>
          <t>Retest required</t>
        </is>
      </c>
      <c r="C5" s="348" t="inlineStr">
        <is>
          <t>D2 website-ready policy sheet remains present</t>
        </is>
      </c>
      <c r="D5" s="348" t="inlineStr">
        <is>
          <t>Test FL, TX, NY, CA</t>
        </is>
      </c>
      <c r="E5" s="348" t="inlineStr">
        <is>
          <t>Manual QA</t>
        </is>
      </c>
    </row>
    <row r="6">
      <c r="A6" s="348" t="inlineStr">
        <is>
          <t>Clean package</t>
        </is>
      </c>
      <c r="B6" s="348" t="inlineStr">
        <is>
          <t>Pass</t>
        </is>
      </c>
      <c r="C6" s="348" t="inlineStr">
        <is>
          <t>Deployment ZIP contains only approved production files</t>
        </is>
      </c>
      <c r="D6" s="348" t="inlineStr">
        <is>
          <t>Keep audit reports excluded</t>
        </is>
      </c>
      <c r="E6" s="348" t="inlineStr">
        <is>
          <t>Closed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style="355" min="1" max="1"/>
    <col width="24" customWidth="1" style="355" min="2" max="2"/>
    <col width="24" customWidth="1" style="355" min="3" max="3"/>
    <col width="24" customWidth="1" style="355" min="4" max="4"/>
    <col width="24" customWidth="1" style="355" min="5" max="5"/>
    <col width="24" customWidth="1" style="355" min="6" max="6"/>
  </cols>
  <sheetData>
    <row r="1">
      <c r="A1" s="483" t="inlineStr">
        <is>
          <t>Test ID</t>
        </is>
      </c>
      <c r="B1" s="483" t="inlineStr">
        <is>
          <t>State</t>
        </is>
      </c>
      <c r="C1" s="483" t="inlineStr">
        <is>
          <t>Action</t>
        </is>
      </c>
      <c r="D1" s="483" t="inlineStr">
        <is>
          <t>Expected Result</t>
        </is>
      </c>
      <c r="E1" s="483" t="inlineStr">
        <is>
          <t>Priority</t>
        </is>
      </c>
      <c r="F1" s="483" t="inlineStr">
        <is>
          <t>Status</t>
        </is>
      </c>
    </row>
    <row r="2">
      <c r="A2" s="348" t="inlineStr">
        <is>
          <t>D9-01</t>
        </is>
      </c>
      <c r="B2" s="348" t="inlineStr">
        <is>
          <t>Florida</t>
        </is>
      </c>
      <c r="C2" s="348" t="inlineStr">
        <is>
          <t>Click state / choose from dropdown</t>
        </is>
      </c>
      <c r="D2" s="348" t="inlineStr">
        <is>
          <t>Minimums, policy disclosure, claims deadlines, notes, and source links display</t>
        </is>
      </c>
      <c r="E2" s="348" t="inlineStr">
        <is>
          <t>High</t>
        </is>
      </c>
      <c r="F2" s="348" t="inlineStr">
        <is>
          <t>Ready</t>
        </is>
      </c>
    </row>
    <row r="3">
      <c r="A3" s="348" t="inlineStr">
        <is>
          <t>D9-02</t>
        </is>
      </c>
      <c r="B3" s="348" t="inlineStr">
        <is>
          <t>Texas</t>
        </is>
      </c>
      <c r="C3" s="348" t="inlineStr">
        <is>
          <t>Click state / choose from dropdown</t>
        </is>
      </c>
      <c r="D3" s="348" t="inlineStr">
        <is>
          <t>Minimums and claims payment deadline display without blank minimum fields</t>
        </is>
      </c>
      <c r="E3" s="348" t="inlineStr">
        <is>
          <t>High</t>
        </is>
      </c>
      <c r="F3" s="348" t="inlineStr">
        <is>
          <t>Ready</t>
        </is>
      </c>
    </row>
    <row r="4">
      <c r="A4" s="348" t="inlineStr">
        <is>
          <t>D9-03</t>
        </is>
      </c>
      <c r="B4" s="348" t="inlineStr">
        <is>
          <t>New York</t>
        </is>
      </c>
      <c r="C4" s="348" t="inlineStr">
        <is>
          <t>Click state / choose from dropdown</t>
        </is>
      </c>
      <c r="D4" s="348" t="inlineStr">
        <is>
          <t>Minimums display; policy disclosure source link present</t>
        </is>
      </c>
      <c r="E4" s="348" t="inlineStr">
        <is>
          <t>High</t>
        </is>
      </c>
      <c r="F4" s="348" t="inlineStr">
        <is>
          <t>Ready</t>
        </is>
      </c>
    </row>
    <row r="5">
      <c r="A5" s="348" t="inlineStr">
        <is>
          <t>D9-04</t>
        </is>
      </c>
      <c r="B5" s="348" t="inlineStr">
        <is>
          <t>California</t>
        </is>
      </c>
      <c r="C5" s="348" t="inlineStr">
        <is>
          <t>Click state / choose from dropdown</t>
        </is>
      </c>
      <c r="D5" s="348" t="inlineStr">
        <is>
          <t>Minimums display; long notes do not break panel</t>
        </is>
      </c>
      <c r="E5" s="348" t="inlineStr">
        <is>
          <t>High</t>
        </is>
      </c>
      <c r="F5" s="348" t="inlineStr">
        <is>
          <t>Ready</t>
        </is>
      </c>
    </row>
    <row r="6">
      <c r="A6" s="348" t="inlineStr">
        <is>
          <t>D9-05</t>
        </is>
      </c>
      <c r="B6" s="348" t="inlineStr">
        <is>
          <t>Washington</t>
        </is>
      </c>
      <c r="C6" s="348" t="inlineStr">
        <is>
          <t>Click state / choose from dropdown</t>
        </is>
      </c>
      <c r="D6" s="348" t="inlineStr">
        <is>
          <t>Claims acknowledgement/investigation/payment values display</t>
        </is>
      </c>
      <c r="E6" s="348" t="inlineStr">
        <is>
          <t>High</t>
        </is>
      </c>
      <c r="F6" s="348" t="inlineStr">
        <is>
          <t>Ready</t>
        </is>
      </c>
    </row>
    <row r="7">
      <c r="A7" s="348" t="inlineStr">
        <is>
          <t>D9-06</t>
        </is>
      </c>
      <c r="B7" s="348" t="inlineStr">
        <is>
          <t>Wyoming</t>
        </is>
      </c>
      <c r="C7" s="348" t="inlineStr">
        <is>
          <t>Click state / choose from dropdown</t>
        </is>
      </c>
      <c r="D7" s="348" t="inlineStr">
        <is>
          <t>Minimums and claims deadlines display; no duplicate Wyoming/Tennessee issue</t>
        </is>
      </c>
      <c r="E7" s="348" t="inlineStr">
        <is>
          <t>High</t>
        </is>
      </c>
      <c r="F7" s="348" t="inlineStr">
        <is>
          <t>Ready</t>
        </is>
      </c>
    </row>
    <row r="8">
      <c r="A8" s="348" t="inlineStr">
        <is>
          <t>D9-07</t>
        </is>
      </c>
      <c r="B8" s="348" t="inlineStr">
        <is>
          <t>New Mexico</t>
        </is>
      </c>
      <c r="C8" s="348" t="inlineStr">
        <is>
          <t>Click state / choose from dropdown</t>
        </is>
      </c>
      <c r="D8" s="348" t="inlineStr">
        <is>
          <t>Previously verified claims row displays correctly</t>
        </is>
      </c>
      <c r="E8" s="348" t="inlineStr">
        <is>
          <t>Medium</t>
        </is>
      </c>
      <c r="F8" s="348" t="inlineStr">
        <is>
          <t>Ready</t>
        </is>
      </c>
    </row>
    <row r="9">
      <c r="A9" s="348" t="inlineStr">
        <is>
          <t>D9-08</t>
        </is>
      </c>
      <c r="B9" s="348" t="inlineStr">
        <is>
          <t>North Dakota</t>
        </is>
      </c>
      <c r="C9" s="348" t="inlineStr">
        <is>
          <t>Click state / choose from dropdown</t>
        </is>
      </c>
      <c r="D9" s="348" t="inlineStr">
        <is>
          <t>Previously verified claims row displays correctly</t>
        </is>
      </c>
      <c r="E9" s="348" t="inlineStr">
        <is>
          <t>Medium</t>
        </is>
      </c>
      <c r="F9" s="348" t="inlineStr">
        <is>
          <t>Ready</t>
        </is>
      </c>
    </row>
    <row r="10">
      <c r="A10" s="348" t="inlineStr">
        <is>
          <t>D9-09</t>
        </is>
      </c>
      <c r="B10" s="348" t="inlineStr">
        <is>
          <t>Rhode Island</t>
        </is>
      </c>
      <c r="C10" s="348" t="inlineStr">
        <is>
          <t>Click state / choose from dropdown</t>
        </is>
      </c>
      <c r="D10" s="348" t="inlineStr">
        <is>
          <t>Previously verified claims row displays correctly</t>
        </is>
      </c>
      <c r="E10" s="348" t="inlineStr">
        <is>
          <t>Medium</t>
        </is>
      </c>
      <c r="F10" s="348" t="inlineStr">
        <is>
          <t>Ready</t>
        </is>
      </c>
    </row>
    <row r="11">
      <c r="A11" s="348" t="inlineStr">
        <is>
          <t>D9-10</t>
        </is>
      </c>
      <c r="B11" s="348" t="inlineStr">
        <is>
          <t>Mobile width</t>
        </is>
      </c>
      <c r="C11" s="348" t="inlineStr">
        <is>
          <t>Narrow browser to phone width</t>
        </is>
      </c>
      <c r="D11" s="348" t="inlineStr">
        <is>
          <t>Panel remains readable; no data overlaps map controls</t>
        </is>
      </c>
      <c r="E11" s="348" t="inlineStr">
        <is>
          <t>Medium</t>
        </is>
      </c>
      <c r="F11" s="348" t="inlineStr">
        <is>
          <t>Ready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style="355" min="1" max="1"/>
    <col width="70" customWidth="1" style="355" min="2" max="2"/>
  </cols>
  <sheetData>
    <row r="1">
      <c r="A1" s="471" t="inlineStr">
        <is>
          <t>D9 Result</t>
        </is>
      </c>
      <c r="B1" s="348" t="inlineStr">
        <is>
          <t>Minimums display fix confirmed and loader hardened</t>
        </is>
      </c>
    </row>
    <row r="2">
      <c r="A2" s="348" t="inlineStr">
        <is>
          <t>Package Type</t>
        </is>
      </c>
      <c r="B2" s="348" t="inlineStr">
        <is>
          <t>Clean production website package</t>
        </is>
      </c>
    </row>
    <row r="3">
      <c r="A3" s="348" t="inlineStr">
        <is>
          <t>Workbook Source</t>
        </is>
      </c>
      <c r="B3" s="348" t="inlineStr">
        <is>
          <t>D8 fixed website workbook</t>
        </is>
      </c>
    </row>
    <row r="4">
      <c r="A4" s="348" t="inlineStr">
        <is>
          <t>Primary Fix</t>
        </is>
      </c>
      <c r="B4" s="348" t="inlineStr">
        <is>
          <t>Minimums sheet selection no longer includes claims sheet as a preferred candidate</t>
        </is>
      </c>
    </row>
    <row r="5">
      <c r="A5" s="348" t="inlineStr">
        <is>
          <t>Manual Retest Focus</t>
        </is>
      </c>
      <c r="B5" s="348" t="inlineStr">
        <is>
          <t>Minimums + policy disclosure + claims deadlines in state detail panel</t>
        </is>
      </c>
    </row>
    <row r="6">
      <c r="A6" s="348" t="inlineStr">
        <is>
          <t>Production Files Only</t>
        </is>
      </c>
      <c r="B6" s="348" t="inlineStr">
        <is>
          <t>Yes</t>
        </is>
      </c>
    </row>
    <row r="7">
      <c r="A7" s="348" t="inlineStr">
        <is>
          <t>Generated</t>
        </is>
      </c>
      <c r="B7" s="348" t="inlineStr">
        <is>
          <t>2026-06-07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style="355" min="1" max="1"/>
    <col width="14" customWidth="1" style="355" min="2" max="2"/>
    <col width="58" customWidth="1" style="355" min="3" max="3"/>
    <col width="38" customWidth="1" style="355" min="4" max="4"/>
  </cols>
  <sheetData>
    <row r="1">
      <c r="A1" s="488" t="inlineStr">
        <is>
          <t>Check Area</t>
        </is>
      </c>
      <c r="B1" s="488" t="inlineStr">
        <is>
          <t>Result</t>
        </is>
      </c>
      <c r="C1" s="488" t="inlineStr">
        <is>
          <t>Evidence</t>
        </is>
      </c>
      <c r="D1" s="488" t="inlineStr">
        <is>
          <t>Action</t>
        </is>
      </c>
    </row>
    <row r="2">
      <c r="A2" s="349" t="inlineStr">
        <is>
          <t>ZIP contents</t>
        </is>
      </c>
      <c r="B2" s="349" t="inlineStr">
        <is>
          <t>Pass</t>
        </is>
      </c>
      <c r="C2" s="349" t="inlineStr">
        <is>
          <t>Clean package contains index.html, reference-icon.png, README.md, and Auto_Insurance_Requirements.xlsx only.</t>
        </is>
      </c>
      <c r="D2" s="349" t="inlineStr">
        <is>
          <t>No action.</t>
        </is>
      </c>
    </row>
    <row r="3">
      <c r="A3" s="349" t="inlineStr">
        <is>
          <t>Minimums loader</t>
        </is>
      </c>
      <c r="B3" s="349" t="inlineStr">
        <is>
          <t>Pass</t>
        </is>
      </c>
      <c r="C3" s="349" t="inlineStr">
        <is>
          <t>Minimums loader preferred sheet list uses Auto Insurance Minimums / Minimum Requirements / Minimums and excludes Claims sheets.</t>
        </is>
      </c>
      <c r="D3" s="349" t="inlineStr">
        <is>
          <t>Retest FL/TX/NY/CA/WA/WY.</t>
        </is>
      </c>
    </row>
    <row r="4">
      <c r="A4" s="349" t="inlineStr">
        <is>
          <t>Policy Disclosure loader</t>
        </is>
      </c>
      <c r="B4" s="349" t="inlineStr">
        <is>
          <t>Pass</t>
        </is>
      </c>
      <c r="C4" s="349" t="inlineStr">
        <is>
          <t>Policy loader targets Policy Disclosures and falls back by field coverage.</t>
        </is>
      </c>
      <c r="D4" s="349" t="inlineStr">
        <is>
          <t>Retest policy section on test states.</t>
        </is>
      </c>
    </row>
    <row r="5">
      <c r="A5" s="349" t="inlineStr">
        <is>
          <t>Claims loader</t>
        </is>
      </c>
      <c r="B5" s="349" t="inlineStr">
        <is>
          <t>Pass</t>
        </is>
      </c>
      <c r="C5" s="349" t="inlineStr">
        <is>
          <t>Claims loader targets Claims_Deadlines_Website and falls back by field coverage.</t>
        </is>
      </c>
      <c r="D5" s="349" t="inlineStr">
        <is>
          <t>Retest claims section on test states.</t>
        </is>
      </c>
    </row>
    <row r="6">
      <c r="A6" s="349" t="inlineStr">
        <is>
          <t>Source links</t>
        </is>
      </c>
      <c r="B6" s="349" t="inlineStr">
        <is>
          <t>Pass</t>
        </is>
      </c>
      <c r="C6" s="349" t="inlineStr">
        <is>
          <t>Source links open in new tab with noopener/noreferrer.</t>
        </is>
      </c>
      <c r="D6" s="349" t="inlineStr">
        <is>
          <t>Click one minimum, policy, and claims source link.</t>
        </is>
      </c>
    </row>
    <row r="7">
      <c r="A7" s="349" t="inlineStr">
        <is>
          <t>Workbook row counts</t>
        </is>
      </c>
      <c r="B7" s="349" t="inlineStr">
        <is>
          <t>Pass</t>
        </is>
      </c>
      <c r="C7" s="349" t="inlineStr">
        <is>
          <t>Production datasets remain at 50 state rows for minimums, policy website-ready, and claims website-ready sheets.</t>
        </is>
      </c>
      <c r="D7" s="349" t="inlineStr">
        <is>
          <t>No action.</t>
        </is>
      </c>
    </row>
    <row r="8">
      <c r="A8" s="349" t="inlineStr">
        <is>
          <t>Manual browser test required</t>
        </is>
      </c>
      <c r="B8" s="349" t="inlineStr">
        <is>
          <t>Open</t>
        </is>
      </c>
      <c r="C8" s="349" t="inlineStr">
        <is>
          <t>Static QA passed; browser rendering must still be checked locally after deployment package extraction.</t>
        </is>
      </c>
      <c r="D8" s="349" t="inlineStr">
        <is>
          <t>Use D10_Local_Retest_Log.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18" customWidth="1" style="355" min="2" max="2"/>
    <col width="24" customWidth="1" style="355" min="3" max="3"/>
    <col width="24" customWidth="1" style="355" min="4" max="4"/>
    <col width="20" customWidth="1" style="355" min="5" max="5"/>
    <col width="52" customWidth="1" style="355" min="6" max="6"/>
  </cols>
  <sheetData>
    <row r="1">
      <c r="A1" s="488" t="inlineStr">
        <is>
          <t>Test State</t>
        </is>
      </c>
      <c r="B1" s="488" t="inlineStr">
        <is>
          <t>Minimums Show</t>
        </is>
      </c>
      <c r="C1" s="488" t="inlineStr">
        <is>
          <t>Policy Disclosure Shows</t>
        </is>
      </c>
      <c r="D1" s="488" t="inlineStr">
        <is>
          <t>Claims Deadlines Show</t>
        </is>
      </c>
      <c r="E1" s="488" t="inlineStr">
        <is>
          <t>Source Links Open</t>
        </is>
      </c>
      <c r="F1" s="488" t="inlineStr">
        <is>
          <t>Notes</t>
        </is>
      </c>
    </row>
    <row r="2">
      <c r="A2" s="349" t="inlineStr">
        <is>
          <t>Florida</t>
        </is>
      </c>
      <c r="B2" s="349" t="str"/>
      <c r="C2" s="349" t="str"/>
      <c r="D2" s="349" t="str"/>
      <c r="E2" s="349" t="str"/>
      <c r="F2" s="349" t="inlineStr">
        <is>
          <t>Confirm BI/PD/PIP/UM/UIM, disclosure, claims deadlines.</t>
        </is>
      </c>
    </row>
    <row r="3">
      <c r="A3" s="349" t="inlineStr">
        <is>
          <t>Texas</t>
        </is>
      </c>
      <c r="B3" s="349" t="str"/>
      <c r="C3" s="349" t="str"/>
      <c r="D3" s="349" t="str"/>
      <c r="E3" s="349" t="str"/>
      <c r="F3" s="349" t="inlineStr">
        <is>
          <t>Confirm minimums, policy disclosure, and prompt-payment claims data.</t>
        </is>
      </c>
    </row>
    <row r="4">
      <c r="A4" s="349" t="inlineStr">
        <is>
          <t>New York</t>
        </is>
      </c>
      <c r="B4" s="349" t="str"/>
      <c r="C4" s="349" t="str"/>
      <c r="D4" s="349" t="str"/>
      <c r="E4" s="349" t="str"/>
      <c r="F4" s="349" t="inlineStr">
        <is>
          <t>Confirm no layout break from longer notes.</t>
        </is>
      </c>
    </row>
    <row r="5">
      <c r="A5" s="349" t="inlineStr">
        <is>
          <t>California</t>
        </is>
      </c>
      <c r="B5" s="349" t="str"/>
      <c r="C5" s="349" t="str"/>
      <c r="D5" s="349" t="str"/>
      <c r="E5" s="349" t="str"/>
      <c r="F5" s="349" t="inlineStr">
        <is>
          <t>Confirm sections and source links.</t>
        </is>
      </c>
    </row>
    <row r="6">
      <c r="A6" s="349" t="inlineStr">
        <is>
          <t>Washington</t>
        </is>
      </c>
      <c r="B6" s="349" t="str"/>
      <c r="C6" s="349" t="str"/>
      <c r="D6" s="349" t="str"/>
      <c r="E6" s="349" t="str"/>
      <c r="F6" s="349" t="inlineStr">
        <is>
          <t>Confirm claims deadlines surface correctly.</t>
        </is>
      </c>
    </row>
    <row r="7">
      <c r="A7" s="349" t="inlineStr">
        <is>
          <t>Wyoming</t>
        </is>
      </c>
      <c r="B7" s="349" t="str"/>
      <c r="C7" s="349" t="str"/>
      <c r="D7" s="349" t="str"/>
      <c r="E7" s="349" t="str"/>
      <c r="F7" s="349" t="inlineStr">
        <is>
          <t>Confirm state with shorter requirements shows cleanly.</t>
        </is>
      </c>
    </row>
    <row r="8">
      <c r="A8" s="349" t="inlineStr">
        <is>
          <t>New Mexico</t>
        </is>
      </c>
      <c r="B8" s="349" t="str"/>
      <c r="C8" s="349" t="str"/>
      <c r="D8" s="349" t="str"/>
      <c r="E8" s="349" t="str"/>
      <c r="F8" s="349" t="inlineStr">
        <is>
          <t>Previously verified; confirm no missing fields.</t>
        </is>
      </c>
    </row>
    <row r="9">
      <c r="A9" s="349" t="inlineStr">
        <is>
          <t>North Dakota</t>
        </is>
      </c>
      <c r="B9" s="349" t="str"/>
      <c r="C9" s="349" t="str"/>
      <c r="D9" s="349" t="str"/>
      <c r="E9" s="349" t="str"/>
      <c r="F9" s="349" t="inlineStr">
        <is>
          <t>Previously verified; confirm no missing fields.</t>
        </is>
      </c>
    </row>
    <row r="10">
      <c r="A10" s="349" t="inlineStr">
        <is>
          <t>Rhode Island</t>
        </is>
      </c>
      <c r="B10" s="349" t="str"/>
      <c r="C10" s="349" t="str"/>
      <c r="D10" s="349" t="str"/>
      <c r="E10" s="349" t="str"/>
      <c r="F10" s="349" t="inlineStr">
        <is>
          <t>Previously verified; confirm no missing fields.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style="355" min="1" max="1"/>
    <col width="70" customWidth="1" style="355" min="2" max="2"/>
  </cols>
  <sheetData>
    <row r="1">
      <c r="A1" s="488" t="inlineStr">
        <is>
          <t>Item</t>
        </is>
      </c>
      <c r="B1" s="488" t="inlineStr">
        <is>
          <t>Status</t>
        </is>
      </c>
    </row>
    <row r="2">
      <c r="A2" s="349" t="inlineStr">
        <is>
          <t>Phase</t>
        </is>
      </c>
      <c r="B2" s="349" t="inlineStr">
        <is>
          <t>D10 Website Smoke QA</t>
        </is>
      </c>
    </row>
    <row r="3">
      <c r="A3" s="349" t="inlineStr">
        <is>
          <t>Minimums display regression</t>
        </is>
      </c>
      <c r="B3" s="349" t="inlineStr">
        <is>
          <t>Fixed in D8; hardened in D9; statically rechecked in D10</t>
        </is>
      </c>
    </row>
    <row r="4">
      <c r="A4" s="349" t="inlineStr">
        <is>
          <t>Clean ZIP standard</t>
        </is>
      </c>
      <c r="B4" s="349" t="inlineStr">
        <is>
          <t>Maintained: 4 deployment files only</t>
        </is>
      </c>
    </row>
    <row r="5">
      <c r="A5" s="349" t="inlineStr">
        <is>
          <t>Formula error scan</t>
        </is>
      </c>
      <c r="B5" s="349" t="inlineStr">
        <is>
          <t>No formula error strings found in key workbook scan</t>
        </is>
      </c>
    </row>
    <row r="6">
      <c r="A6" s="349" t="inlineStr">
        <is>
          <t>Next step</t>
        </is>
      </c>
      <c r="B6" s="349" t="inlineStr">
        <is>
          <t>User local browser retest using D10_Local_Retest_Log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style="355" min="1" max="1"/>
    <col width="42" customWidth="1" style="355" min="2" max="2"/>
    <col width="58" customWidth="1" style="355" min="3" max="3"/>
    <col width="22" customWidth="1" style="355" min="4" max="4"/>
    <col width="58" customWidth="1" style="355" min="5" max="5"/>
  </cols>
  <sheetData>
    <row r="1">
      <c r="A1" s="493" t="inlineStr">
        <is>
          <t>Area</t>
        </is>
      </c>
      <c r="B1" s="493" t="inlineStr">
        <is>
          <t>Test</t>
        </is>
      </c>
      <c r="C1" s="493" t="inlineStr">
        <is>
          <t>Expected Result</t>
        </is>
      </c>
      <c r="D1" s="493" t="inlineStr">
        <is>
          <t>Status</t>
        </is>
      </c>
      <c r="E1" s="493" t="inlineStr">
        <is>
          <t>Notes</t>
        </is>
      </c>
    </row>
    <row r="2">
      <c r="A2" s="348" t="inlineStr">
        <is>
          <t>Workbook</t>
        </is>
      </c>
      <c r="B2" s="348" t="inlineStr">
        <is>
          <t>Auto Insurance Minimums count</t>
        </is>
      </c>
      <c r="C2" s="348" t="inlineStr">
        <is>
          <t>50 state rows; no duplicate state names</t>
        </is>
      </c>
      <c r="D2" s="348" t="inlineStr">
        <is>
          <t>Ready for local test</t>
        </is>
      </c>
      <c r="E2" s="348" t="inlineStr">
        <is>
          <t>Core minimums source sheet remains present.</t>
        </is>
      </c>
    </row>
    <row r="3">
      <c r="A3" s="348" t="inlineStr">
        <is>
          <t>Workbook</t>
        </is>
      </c>
      <c r="B3" s="348" t="inlineStr">
        <is>
          <t>Policy Disclosures count</t>
        </is>
      </c>
      <c r="C3" s="348" t="inlineStr">
        <is>
          <t>50 state rows; no duplicate state names</t>
        </is>
      </c>
      <c r="D3" s="348" t="inlineStr">
        <is>
          <t>Ready for local test</t>
        </is>
      </c>
      <c r="E3" s="348" t="inlineStr">
        <is>
          <t>Policy disclosure website-ready sheet remains present.</t>
        </is>
      </c>
    </row>
    <row r="4">
      <c r="A4" s="348" t="inlineStr">
        <is>
          <t>Workbook</t>
        </is>
      </c>
      <c r="B4" s="348" t="inlineStr">
        <is>
          <t>Claims Deadlines count</t>
        </is>
      </c>
      <c r="C4" s="348" t="inlineStr">
        <is>
          <t>50 state rows; no duplicate state names</t>
        </is>
      </c>
      <c r="D4" s="348" t="inlineStr">
        <is>
          <t>Ready for local test</t>
        </is>
      </c>
      <c r="E4" s="348" t="inlineStr">
        <is>
          <t>Claims_Deadlines_Website remains present.</t>
        </is>
      </c>
    </row>
    <row r="5">
      <c r="A5" s="348" t="inlineStr">
        <is>
          <t>Website</t>
        </is>
      </c>
      <c r="B5" s="348" t="inlineStr">
        <is>
          <t>Minimums display</t>
        </is>
      </c>
      <c r="C5" s="348" t="inlineStr">
        <is>
          <t>BI, PD, PIP, UM/UIM, BI SOL, PD SOL show for test states</t>
        </is>
      </c>
      <c r="D5" s="348" t="inlineStr">
        <is>
          <t>Ready for local test</t>
        </is>
      </c>
      <c r="E5" s="348" t="inlineStr">
        <is>
          <t>Retest bug fixed in D8/D9.</t>
        </is>
      </c>
    </row>
    <row r="6">
      <c r="A6" s="348" t="inlineStr">
        <is>
          <t>Website</t>
        </is>
      </c>
      <c r="B6" s="348" t="inlineStr">
        <is>
          <t>Policy disclosure display</t>
        </is>
      </c>
      <c r="C6" s="348" t="inlineStr">
        <is>
          <t>Policy disclosure section shows deadline/requestor/citation info</t>
        </is>
      </c>
      <c r="D6" s="348" t="inlineStr">
        <is>
          <t>Ready for local test</t>
        </is>
      </c>
      <c r="E6" s="348" t="inlineStr">
        <is>
          <t>No redesign; same detail panel.</t>
        </is>
      </c>
    </row>
    <row r="7">
      <c r="A7" s="348" t="inlineStr">
        <is>
          <t>Website</t>
        </is>
      </c>
      <c r="B7" s="348" t="inlineStr">
        <is>
          <t>Claims display</t>
        </is>
      </c>
      <c r="C7" s="348" t="inlineStr">
        <is>
          <t>Claims Handling Deadlines section shows acknowledgment, investigation, and payment deadlines</t>
        </is>
      </c>
      <c r="D7" s="348" t="inlineStr">
        <is>
          <t>Ready for local test</t>
        </is>
      </c>
      <c r="E7" s="348" t="inlineStr">
        <is>
          <t>Added in D6.</t>
        </is>
      </c>
    </row>
    <row r="8">
      <c r="A8" s="348" t="inlineStr">
        <is>
          <t>Website</t>
        </is>
      </c>
      <c r="B8" s="348" t="inlineStr">
        <is>
          <t>Source links</t>
        </is>
      </c>
      <c r="C8" s="348" t="inlineStr">
        <is>
          <t>Minimum, policy disclosure, and claims links open from the detail panel</t>
        </is>
      </c>
      <c r="D8" s="348" t="inlineStr">
        <is>
          <t>Ready for local test</t>
        </is>
      </c>
      <c r="E8" s="348" t="inlineStr">
        <is>
          <t>Use Ctrl+click/open new tab as needed.</t>
        </is>
      </c>
    </row>
    <row r="9">
      <c r="A9" s="348" t="inlineStr">
        <is>
          <t>Website</t>
        </is>
      </c>
      <c r="B9" s="348" t="inlineStr">
        <is>
          <t>Search/dropdown</t>
        </is>
      </c>
      <c r="C9" s="348" t="inlineStr">
        <is>
          <t>State dropdown and map click both load the same state data</t>
        </is>
      </c>
      <c r="D9" s="348" t="inlineStr">
        <is>
          <t>Ready for local test</t>
        </is>
      </c>
      <c r="E9" s="348" t="inlineStr">
        <is>
          <t>Compare FL, TX, NY, CA, WA, WY, NM, ND, RI.</t>
        </is>
      </c>
    </row>
    <row r="10">
      <c r="A10" s="348" t="inlineStr">
        <is>
          <t>Packaging</t>
        </is>
      </c>
      <c r="B10" s="348" t="inlineStr">
        <is>
          <t>Clean deployment ZIP</t>
        </is>
      </c>
      <c r="C10" s="348" t="inlineStr">
        <is>
          <t>Only index.html, reference-icon.png, README.md, Auto_Insurance_Requirements.xlsx</t>
        </is>
      </c>
      <c r="D10" s="348" t="inlineStr">
        <is>
          <t>Pass</t>
        </is>
      </c>
      <c r="E10" s="348" t="inlineStr">
        <is>
          <t>Old reports excluded.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style="355" min="1" max="1"/>
    <col width="75" customWidth="1" style="355" min="2" max="2"/>
    <col width="75" customWidth="1" style="355" min="3" max="3"/>
  </cols>
  <sheetData>
    <row r="1">
      <c r="A1" s="493" t="inlineStr">
        <is>
          <t>Step</t>
        </is>
      </c>
      <c r="B1" s="493" t="inlineStr">
        <is>
          <t>Action</t>
        </is>
      </c>
      <c r="C1" s="493" t="inlineStr">
        <is>
          <t>Expected Result</t>
        </is>
      </c>
    </row>
    <row r="2">
      <c r="A2" s="348" t="inlineStr">
        <is>
          <t>1</t>
        </is>
      </c>
      <c r="B2" s="348" t="inlineStr">
        <is>
          <t>Extract US_Auto_Insurance_D11_Release_Candidate.zip to a local folder.</t>
        </is>
      </c>
      <c r="C2" s="348" t="inlineStr">
        <is>
          <t>Folder contains exactly four deployment files.</t>
        </is>
      </c>
    </row>
    <row r="3">
      <c r="A3" s="348" t="inlineStr">
        <is>
          <t>2</t>
        </is>
      </c>
      <c r="B3" s="348" t="inlineStr">
        <is>
          <t>Open Command Prompt or PowerShell in that folder.</t>
        </is>
      </c>
      <c r="C3" s="348" t="inlineStr">
        <is>
          <t>Terminal path should be the extracted folder.</t>
        </is>
      </c>
    </row>
    <row r="4">
      <c r="A4" s="348" t="inlineStr">
        <is>
          <t>3</t>
        </is>
      </c>
      <c r="B4" s="348" t="inlineStr">
        <is>
          <t>Run: python -m http.server 8000</t>
        </is>
      </c>
      <c r="C4" s="348" t="inlineStr">
        <is>
          <t>A local server starts without errors.</t>
        </is>
      </c>
    </row>
    <row r="5">
      <c r="A5" s="348" t="inlineStr">
        <is>
          <t>4</t>
        </is>
      </c>
      <c r="B5" s="348" t="inlineStr">
        <is>
          <t>Open: http://localhost:8000</t>
        </is>
      </c>
      <c r="C5" s="348" t="inlineStr">
        <is>
          <t>Website loads with approved UI.</t>
        </is>
      </c>
    </row>
    <row r="6">
      <c r="A6" s="348" t="inlineStr">
        <is>
          <t>5</t>
        </is>
      </c>
      <c r="B6" s="348" t="inlineStr">
        <is>
          <t>Click FL, TX, NY, CA, WA, WY, NM, ND, RI.</t>
        </is>
      </c>
      <c r="C6" s="348" t="inlineStr">
        <is>
          <t>Each state detail panel shows minimums, policy disclosure, claims deadlines, and sources.</t>
        </is>
      </c>
    </row>
    <row r="7">
      <c r="A7" s="348" t="inlineStr">
        <is>
          <t>6</t>
        </is>
      </c>
      <c r="B7" s="348" t="inlineStr">
        <is>
          <t>Check minimums specifically.</t>
        </is>
      </c>
      <c r="C7" s="348" t="inlineStr">
        <is>
          <t>BI and PD must not be blank; PIP/UM/UIM/SOL should show where workbook data exists.</t>
        </is>
      </c>
    </row>
    <row r="8">
      <c r="A8" s="348" t="inlineStr">
        <is>
          <t>7</t>
        </is>
      </c>
      <c r="B8" s="348" t="inlineStr">
        <is>
          <t>Check claims deadlines specifically.</t>
        </is>
      </c>
      <c r="C8" s="348" t="inlineStr">
        <is>
          <t>Acknowledgment, Investigation, Payment, Citation/URL source should appear.</t>
        </is>
      </c>
    </row>
    <row r="9">
      <c r="A9" s="348" t="inlineStr">
        <is>
          <t>8</t>
        </is>
      </c>
      <c r="B9" s="348" t="inlineStr">
        <is>
          <t>Check mobile/narrow viewport.</t>
        </is>
      </c>
      <c r="C9" s="348" t="inlineStr">
        <is>
          <t>Panel remains readable; no data sections disappear.</t>
        </is>
      </c>
    </row>
    <row r="10">
      <c r="A10" s="348" t="inlineStr">
        <is>
          <t>9</t>
        </is>
      </c>
      <c r="B10" s="348" t="inlineStr">
        <is>
          <t>Open DevTools Console during testing.</t>
        </is>
      </c>
      <c r="C10" s="348" t="inlineStr">
        <is>
          <t>No uncaught JavaScript errors during workbook load or state click.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style="355" min="1" max="1"/>
    <col width="30" customWidth="1" style="355" min="2" max="2"/>
    <col width="80" customWidth="1" style="355" min="3" max="3"/>
  </cols>
  <sheetData>
    <row r="1">
      <c r="A1" s="493" t="inlineStr">
        <is>
          <t>Release Item</t>
        </is>
      </c>
      <c r="B1" s="493" t="inlineStr">
        <is>
          <t>Status</t>
        </is>
      </c>
      <c r="C1" s="493" t="inlineStr">
        <is>
          <t>Notes</t>
        </is>
      </c>
    </row>
    <row r="2">
      <c r="A2" s="348" t="inlineStr">
        <is>
          <t>D11 release candidate</t>
        </is>
      </c>
      <c r="B2" s="348" t="inlineStr">
        <is>
          <t>Ready for manual local test</t>
        </is>
      </c>
      <c r="C2" s="348" t="inlineStr">
        <is>
          <t>Build includes D10 smoke QA plus D11 regression/test documentation.</t>
        </is>
      </c>
    </row>
    <row r="3">
      <c r="A3" s="348" t="inlineStr">
        <is>
          <t>UI redesign</t>
        </is>
      </c>
      <c r="B3" s="348" t="inlineStr">
        <is>
          <t>Not changed</t>
        </is>
      </c>
      <c r="C3" s="348" t="inlineStr">
        <is>
          <t>Approved UI remains locked.</t>
        </is>
      </c>
    </row>
    <row r="4">
      <c r="A4" s="348" t="inlineStr">
        <is>
          <t>Minimums display bug</t>
        </is>
      </c>
      <c r="B4" s="348" t="inlineStr">
        <is>
          <t>Fixed and regression-tracked</t>
        </is>
      </c>
      <c r="C4" s="348" t="inlineStr">
        <is>
          <t>Minimums loader excludes claims/audit sheets and prioritizes the correct minimums sheet.</t>
        </is>
      </c>
    </row>
    <row r="5">
      <c r="A5" s="348" t="inlineStr">
        <is>
          <t>Claims Deadlines integration</t>
        </is>
      </c>
      <c r="B5" s="348" t="inlineStr">
        <is>
          <t>Included</t>
        </is>
      </c>
      <c r="C5" s="348" t="inlineStr">
        <is>
          <t>Claims deadlines are surfaced in the state detail panel.</t>
        </is>
      </c>
    </row>
    <row r="6">
      <c r="A6" s="348" t="inlineStr">
        <is>
          <t>Clean ZIP</t>
        </is>
      </c>
      <c r="B6" s="348" t="inlineStr">
        <is>
          <t>Included</t>
        </is>
      </c>
      <c r="C6" s="348" t="inlineStr">
        <is>
          <t>Deployment ZIP excludes historical reports and working papers.</t>
        </is>
      </c>
    </row>
    <row r="7">
      <c r="A7" s="348" t="inlineStr">
        <is>
          <t>Remaining dependency</t>
        </is>
      </c>
      <c r="B7" s="348" t="inlineStr">
        <is>
          <t>Manual browser testing</t>
        </is>
      </c>
      <c r="C7" s="348" t="inlineStr">
        <is>
          <t>User should test locally using D11_Local_Test_Plan before GitHub upload.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style="355" min="1" max="1"/>
    <col width="80" customWidth="1" style="355" min="2" max="2"/>
  </cols>
  <sheetData>
    <row r="1">
      <c r="A1" s="493" t="inlineStr">
        <is>
          <t>Metric</t>
        </is>
      </c>
      <c r="B1" s="493" t="inlineStr">
        <is>
          <t>Result</t>
        </is>
      </c>
    </row>
    <row r="2">
      <c r="A2" s="348" t="inlineStr">
        <is>
          <t>Release phase</t>
        </is>
      </c>
      <c r="B2" s="348" t="inlineStr">
        <is>
          <t>D11 Release Candidate</t>
        </is>
      </c>
    </row>
    <row r="3">
      <c r="A3" s="348" t="inlineStr">
        <is>
          <t>Workbook source</t>
        </is>
      </c>
      <c r="B3" s="348" t="inlineStr">
        <is>
          <t>D10 smoke QA workbook</t>
        </is>
      </c>
    </row>
    <row r="4">
      <c r="A4" s="348" t="inlineStr">
        <is>
          <t>Deployment files</t>
        </is>
      </c>
      <c r="B4" s="348" t="inlineStr">
        <is>
          <t>4</t>
        </is>
      </c>
    </row>
    <row r="5">
      <c r="A5" s="348" t="inlineStr">
        <is>
          <t>Old reports included</t>
        </is>
      </c>
      <c r="B5" s="348" t="inlineStr">
        <is>
          <t>No</t>
        </is>
      </c>
    </row>
    <row r="6">
      <c r="A6" s="348" t="inlineStr">
        <is>
          <t>Minimums regression test added</t>
        </is>
      </c>
      <c r="B6" s="348" t="inlineStr">
        <is>
          <t>Yes</t>
        </is>
      </c>
    </row>
    <row r="7">
      <c r="A7" s="348" t="inlineStr">
        <is>
          <t>Claims deadlines surfaced</t>
        </is>
      </c>
      <c r="B7" s="348" t="inlineStr">
        <is>
          <t>Yes</t>
        </is>
      </c>
    </row>
    <row r="8">
      <c r="A8" s="348" t="inlineStr">
        <is>
          <t>Manual test states</t>
        </is>
      </c>
      <c r="B8" s="348" t="inlineStr">
        <is>
          <t>FL, TX, NY, CA, WA, WY, NM, ND, RI</t>
        </is>
      </c>
    </row>
    <row r="9">
      <c r="A9" s="348" t="inlineStr">
        <is>
          <t>Recommended next step</t>
        </is>
      </c>
      <c r="B9" s="348" t="inlineStr">
        <is>
          <t>Run local test plan; report any UI/display issues found.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style="355" min="1" max="1"/>
    <col width="36" customWidth="1" style="355" min="2" max="2"/>
    <col width="80" customWidth="1" style="355" min="3" max="3"/>
  </cols>
  <sheetData>
    <row r="1">
      <c r="A1" s="496" t="inlineStr">
        <is>
          <t>Fix Area</t>
        </is>
      </c>
      <c r="B1" s="496" t="inlineStr">
        <is>
          <t>Status</t>
        </is>
      </c>
      <c r="C1" s="496" t="inlineStr">
        <is>
          <t>Notes</t>
        </is>
      </c>
    </row>
    <row r="2">
      <c r="A2" s="497" t="inlineStr">
        <is>
          <t>Mobile layout</t>
        </is>
      </c>
      <c r="B2" s="497" t="inlineStr">
        <is>
          <t>Fixed</t>
        </is>
      </c>
      <c r="C2" s="497" t="inlineStr">
        <is>
          <t>At &lt;=768px the details panel is a slide-in drawer; map remains primary screen.</t>
        </is>
      </c>
    </row>
    <row r="3">
      <c r="A3" s="497" t="inlineStr">
        <is>
          <t>Small state click targets</t>
        </is>
      </c>
      <c r="B3" s="497" t="inlineStr">
        <is>
          <t>Fixed</t>
        </is>
      </c>
      <c r="C3" s="497" t="inlineStr">
        <is>
          <t>Added transparent hitboxes for HI and northeastern callout labels.</t>
        </is>
      </c>
    </row>
    <row r="4">
      <c r="A4" s="497" t="inlineStr">
        <is>
          <t>Favicon console 404</t>
        </is>
      </c>
      <c r="B4" s="497" t="inlineStr">
        <is>
          <t>Fixed</t>
        </is>
      </c>
      <c r="C4" s="497" t="inlineStr">
        <is>
          <t>index.html now points favicon to reference-icon.png.</t>
        </is>
      </c>
    </row>
    <row r="5">
      <c r="A5" s="497" t="inlineStr">
        <is>
          <t>Original source links</t>
        </is>
      </c>
      <c r="B5" s="497" t="inlineStr">
        <is>
          <t>Fixed in code and hardened</t>
        </is>
      </c>
      <c r="C5" s="497" t="inlineStr">
        <is>
          <t>Non-URL text is no longer converted to local/localhost links; source links use explicit URLs or Source_Index fallbacks.</t>
        </is>
      </c>
    </row>
    <row r="6">
      <c r="A6" s="497" t="inlineStr">
        <is>
          <t>Deep citation links</t>
        </is>
      </c>
      <c r="B6" s="497" t="inlineStr">
        <is>
          <t>Improved</t>
        </is>
      </c>
      <c r="C6" s="497" t="inlineStr">
        <is>
          <t>Florida, Washington, Texas, and Rhode Island citation patterns generate direct section links when possible.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style="355" min="1" max="1"/>
    <col width="36" customWidth="1" style="355" min="2" max="2"/>
    <col width="80" customWidth="1" style="355" min="3" max="3"/>
  </cols>
  <sheetData>
    <row r="1">
      <c r="A1" s="496" t="inlineStr">
        <is>
          <t>Issue</t>
        </is>
      </c>
      <c r="B1" s="496" t="inlineStr">
        <is>
          <t>Root Cause</t>
        </is>
      </c>
      <c r="C1" s="496" t="inlineStr">
        <is>
          <t>Fix</t>
        </is>
      </c>
    </row>
    <row r="2">
      <c r="A2" s="497" t="inlineStr">
        <is>
          <t>Links opening localhost / local server paths</t>
        </is>
      </c>
      <c r="B2" s="497" t="inlineStr">
        <is>
          <t>Some workbook cells contain labels or numeric values instead of URLs; the previous normalizer could treat non-URLs as link targets.</t>
        </is>
      </c>
      <c r="C2" s="497" t="inlineStr">
        <is>
          <t>Added strict external-URL validation and blocks localhost/file-relative source links.</t>
        </is>
      </c>
    </row>
    <row r="3">
      <c r="A3" s="497" t="inlineStr">
        <is>
          <t>Coverage/source links not consistently deep-linked</t>
        </is>
      </c>
      <c r="B3" s="497" t="inlineStr">
        <is>
          <t>Original minimums sheet stores many source labels without paired URL columns.</t>
        </is>
      </c>
      <c r="C3" s="497" t="inlineStr">
        <is>
          <t>Added Source_Index fallback for PIP and UM/UIM; direct citation parser for common official citation patterns.</t>
        </is>
      </c>
    </row>
    <row r="4">
      <c r="A4" s="497" t="inlineStr">
        <is>
          <t>Washington disclosure link hang risk</t>
        </is>
      </c>
      <c r="B4" s="497" t="inlineStr">
        <is>
          <t>Older embedded disclosure URL in minimums sheet pointed to a state-register PDF; the policy sheet has a current court-rule URL.</t>
        </is>
      </c>
      <c r="C4" s="497" t="inlineStr">
        <is>
          <t>Replaced embedded Washington disclosure URL with court-rule page URL.</t>
        </is>
      </c>
    </row>
    <row r="5">
      <c r="A5" s="497" t="inlineStr">
        <is>
          <t>Florida claims link landed on statute homepage</t>
        </is>
      </c>
      <c r="B5" s="497" t="inlineStr">
        <is>
          <t>Claims citation listed multiple sections but had a generic Florida statutes URL.</t>
        </is>
      </c>
      <c r="C5" s="497" t="inlineStr">
        <is>
          <t>Updated row URL to first cited statute and website now creates direct links for each recognized Florida statute section.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style="355" min="1" max="1"/>
    <col width="36" customWidth="1" style="355" min="2" max="2"/>
    <col width="80" customWidth="1" style="355" min="3" max="3"/>
  </cols>
  <sheetData>
    <row r="1">
      <c r="A1" s="496" t="inlineStr">
        <is>
          <t>Test</t>
        </is>
      </c>
      <c r="B1" s="496" t="inlineStr">
        <is>
          <t>States / Widths</t>
        </is>
      </c>
      <c r="C1" s="496" t="inlineStr">
        <is>
          <t>Expected Result</t>
        </is>
      </c>
    </row>
    <row r="2">
      <c r="A2" s="497" t="inlineStr">
        <is>
          <t>Mobile drawer</t>
        </is>
      </c>
      <c r="B2" s="497" t="inlineStr">
        <is>
          <t>390px and 768px; FL, TX, CA</t>
        </is>
      </c>
      <c r="C2" s="497" t="inlineStr">
        <is>
          <t>Map remains visible; tapping a state opens a right-side details drawer; Close details returns to map.</t>
        </is>
      </c>
    </row>
    <row r="3">
      <c r="A3" s="497" t="inlineStr">
        <is>
          <t>Small state click targets</t>
        </is>
      </c>
      <c r="B3" s="497" t="inlineStr">
        <is>
          <t>HI, RI, DE, CT, NJ, MA, VT, NH</t>
        </is>
      </c>
      <c r="C3" s="497" t="inlineStr">
        <is>
          <t>Clicking near the abbreviation selects the state.</t>
        </is>
      </c>
    </row>
    <row r="4">
      <c r="A4" s="497" t="inlineStr">
        <is>
          <t>Source links</t>
        </is>
      </c>
      <c r="B4" s="497" t="inlineStr">
        <is>
          <t>FL, WA, TX, RI</t>
        </is>
      </c>
      <c r="C4" s="497" t="inlineStr">
        <is>
          <t>Links open external official pages in a new tab; no localhost/10000/file-relative links.</t>
        </is>
      </c>
    </row>
    <row r="5">
      <c r="A5" s="497" t="inlineStr">
        <is>
          <t>Deep source links</t>
        </is>
      </c>
      <c r="B5" s="497" t="inlineStr">
        <is>
          <t>FL claims; WA claims; TX claims; RI disclosure</t>
        </is>
      </c>
      <c r="C5" s="497" t="inlineStr">
        <is>
          <t>Direct section links open where supported.</t>
        </is>
      </c>
    </row>
    <row r="6">
      <c r="A6" s="497" t="inlineStr">
        <is>
          <t>Console</t>
        </is>
      </c>
      <c r="B6" s="497" t="inlineStr">
        <is>
          <t>Any test state</t>
        </is>
      </c>
      <c r="C6" s="497" t="inlineStr">
        <is>
          <t>No favicon.ico 404; no source-link localhost errors.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style="355" min="1" max="1"/>
    <col width="28" customWidth="1" style="355" min="2" max="2"/>
    <col width="28" customWidth="1" style="355" min="3" max="3"/>
    <col width="28" customWidth="1" style="355" min="4" max="4"/>
    <col width="28" customWidth="1" style="355" min="5" max="5"/>
    <col width="28" customWidth="1" style="355" min="6" max="6"/>
    <col width="28" customWidth="1" style="355" min="7" max="7"/>
  </cols>
  <sheetData>
    <row r="1">
      <c r="A1" s="499" t="inlineStr">
        <is>
          <t>State</t>
        </is>
      </c>
      <c r="B1" s="499" t="inlineStr">
        <is>
          <t>BI Source URL</t>
        </is>
      </c>
      <c r="C1" s="499" t="inlineStr">
        <is>
          <t>PD Source URL</t>
        </is>
      </c>
      <c r="D1" s="499" t="inlineStr">
        <is>
          <t>PIP Source URL</t>
        </is>
      </c>
      <c r="E1" s="499" t="inlineStr">
        <is>
          <t>UM/UIM Source URL</t>
        </is>
      </c>
      <c r="F1" s="499" t="inlineStr">
        <is>
          <t>BI SOL Source URL</t>
        </is>
      </c>
      <c r="G1" s="499" t="inlineStr">
        <is>
          <t>PD SOL Source URL</t>
        </is>
      </c>
    </row>
    <row r="2">
      <c r="A2" t="inlineStr">
        <is>
          <t>Alabama</t>
        </is>
      </c>
      <c r="B2" t="inlineStr">
        <is>
          <t>https://www.revenue.alabama.gov/tax-types/mandatory-liability-insurance/</t>
        </is>
      </c>
      <c r="C2" t="inlineStr">
        <is>
          <t>https://www.revenue.alabama.gov/tax-types/mandatory-liability-insurance/</t>
        </is>
      </c>
      <c r="D2" t="inlineStr">
        <is>
          <t>https://www.revenue.alabama.gov/tax-types/mandatory-liability-insurance/</t>
        </is>
      </c>
      <c r="E2" t="inlineStr">
        <is>
          <t>https://alison.legislature.state.al.us/code-of-alabama?section=32-7-23</t>
        </is>
      </c>
      <c r="F2" t="inlineStr">
        <is>
          <t>https://alison.legislature.state.al.us/code-of-alabama?section=6-2-38%2F</t>
        </is>
      </c>
      <c r="G2" t="inlineStr">
        <is>
          <t>https://alison.legislature.state.al.us/code-of-alabama?section=6-2-38%2F</t>
        </is>
      </c>
    </row>
    <row r="3">
      <c r="A3" t="inlineStr">
        <is>
          <t>Alaska</t>
        </is>
      </c>
      <c r="B3" t="inlineStr">
        <is>
          <t>https://dmv.alaska.gov/driver-services-adjudication/mandatory-insurance/</t>
        </is>
      </c>
      <c r="C3" t="inlineStr">
        <is>
          <t>https://dmv.alaska.gov/driver-services-adjudication/mandatory-insurance/</t>
        </is>
      </c>
      <c r="D3" t="inlineStr">
        <is>
          <t>https://dmv.alaska.gov/driver-services-adjudication/mandatory-insurance/</t>
        </is>
      </c>
      <c r="E3" t="inlineStr">
        <is>
          <t>https://www.akleg.gov/statutesPDF/Title-28.pdf</t>
        </is>
      </c>
      <c r="F3" t="inlineStr">
        <is>
          <t>https://www.akleg.gov/basis/statutes.asp?title=9</t>
        </is>
      </c>
      <c r="G3" t="inlineStr">
        <is>
          <t>https://www.akleg.gov/basis/statutes.asp?title=9</t>
        </is>
      </c>
    </row>
    <row r="4">
      <c r="A4" t="inlineStr">
        <is>
          <t>Arizona</t>
        </is>
      </c>
      <c r="B4" t="inlineStr">
        <is>
          <t>https://www.azleg.gov/ars/28/04009.htm</t>
        </is>
      </c>
      <c r="C4" t="inlineStr">
        <is>
          <t>https://www.azleg.gov/ars/28/04009.htm</t>
        </is>
      </c>
      <c r="D4" t="inlineStr">
        <is>
          <t>https://www.azleg.gov/ars/28/04009.htm</t>
        </is>
      </c>
      <c r="E4" t="inlineStr">
        <is>
          <t>https://www.azleg.gov/ars/20/00259-01.htm</t>
        </is>
      </c>
      <c r="F4" t="inlineStr">
        <is>
          <t>https://www.azleg.gov/ars/12/00542.htm</t>
        </is>
      </c>
      <c r="G4" t="inlineStr">
        <is>
          <t>https://www.azleg.gov/ars/12/00542.htm</t>
        </is>
      </c>
    </row>
    <row r="5">
      <c r="A5" t="inlineStr">
        <is>
          <t>Arkansas</t>
        </is>
      </c>
      <c r="B5" t="inlineStr">
        <is>
          <t>https://www.arkleg.state.ar.us/ArkansasLaw</t>
        </is>
      </c>
      <c r="C5" t="inlineStr">
        <is>
          <t>https://www.arkleg.state.ar.us/ArkansasLaw</t>
        </is>
      </c>
      <c r="D5" t="inlineStr">
        <is>
          <t>https://www.dfa.arkansas.gov/driver-services/frequently-asked-questions/insurance-verification-and-notification/</t>
        </is>
      </c>
      <c r="E5" t="inlineStr">
        <is>
          <t>https://www.arkleg.state.ar.us/ArkansasLaw</t>
        </is>
      </c>
      <c r="F5" t="inlineStr">
        <is>
          <t>https://www.arkleg.state.ar.us/ArkansasLaw</t>
        </is>
      </c>
      <c r="G5" t="inlineStr">
        <is>
          <t>https://www.arkleg.state.ar.us/ArkansasLaw</t>
        </is>
      </c>
    </row>
    <row r="6">
      <c r="A6" t="inlineStr">
        <is>
          <t>California</t>
        </is>
      </c>
      <c r="B6" t="inlineStr">
        <is>
          <t>https://leginfo.legislature.ca.gov/faces/codes_displaySection.xhtml?sectionNum=16056.&amp;lawCode=VEH</t>
        </is>
      </c>
      <c r="C6" t="inlineStr">
        <is>
          <t>https://leginfo.legislature.ca.gov/faces/codes_displaySection.xhtml?sectionNum=16056.&amp;lawCode=VEH</t>
        </is>
      </c>
      <c r="D6" t="inlineStr">
        <is>
          <t>https://leginfo.legislature.ca.gov/faces/codes_displaySection.xhtml?sectionNum=16056.&amp;lawCode=VEH</t>
        </is>
      </c>
      <c r="E6" t="inlineStr">
        <is>
          <t>https://leginfo.legislature.ca.gov/faces/codes_displaySection.xhtml?sectionNum=11580.2.&amp;lawCode=INS</t>
        </is>
      </c>
      <c r="F6" t="inlineStr">
        <is>
          <t>https://leginfo.legislature.ca.gov/faces/codes_displaySection.xhtml?sectionNum=335.1.&amp;lawCode=CCP</t>
        </is>
      </c>
      <c r="G6" t="inlineStr">
        <is>
          <t>https://leginfo.legislature.ca.gov/faces/codes_displaySection.xhtml?sectionNum=338.&amp;lawCode=CCP</t>
        </is>
      </c>
    </row>
    <row r="7">
      <c r="A7" t="inlineStr">
        <is>
          <t>Colorado</t>
        </is>
      </c>
      <c r="B7" t="inlineStr">
        <is>
          <t>https://leg.colorado.gov/colorado-revised-statutes</t>
        </is>
      </c>
      <c r="C7" t="inlineStr">
        <is>
          <t>https://leg.colorado.gov/colorado-revised-statutes</t>
        </is>
      </c>
      <c r="D7" t="inlineStr">
        <is>
          <t>https://doi.colorado.gov/for-consumers/auto-insurance</t>
        </is>
      </c>
      <c r="E7" t="inlineStr">
        <is>
          <t>https://leg.colorado.gov/colorado-revised-statutes</t>
        </is>
      </c>
      <c r="F7" t="inlineStr">
        <is>
          <t>https://leg.colorado.gov/colorado-revised-statutes</t>
        </is>
      </c>
      <c r="G7" t="inlineStr">
        <is>
          <t>https://leg.colorado.gov/colorado-revised-statutes</t>
        </is>
      </c>
    </row>
    <row r="8">
      <c r="A8" t="inlineStr">
        <is>
          <t>Connecticut</t>
        </is>
      </c>
      <c r="B8" t="inlineStr">
        <is>
          <t>https://www.cga.ct.gov/current/pub/chap_246.htm</t>
        </is>
      </c>
      <c r="C8" t="inlineStr">
        <is>
          <t>https://www.cga.ct.gov/current/pub/chap_246.htm</t>
        </is>
      </c>
      <c r="D8" t="inlineStr">
        <is>
          <t>https://www.cga.ct.gov/current/pub/chap_246.htm</t>
        </is>
      </c>
      <c r="E8" t="inlineStr">
        <is>
          <t>https://www.cga.ct.gov/current/pub/chap_700.htm</t>
        </is>
      </c>
      <c r="F8" t="inlineStr">
        <is>
          <t>https://www.cga.ct.gov/current/pub/chap_926.htm</t>
        </is>
      </c>
      <c r="G8" t="inlineStr">
        <is>
          <t>https://www.cga.ct.gov/current/pub/chap_926.htm</t>
        </is>
      </c>
    </row>
    <row r="9">
      <c r="A9" t="inlineStr">
        <is>
          <t>Delaware</t>
        </is>
      </c>
      <c r="B9" t="inlineStr">
        <is>
          <t>https://delcode.delaware.gov/title21/c029/index.html</t>
        </is>
      </c>
      <c r="C9" t="inlineStr">
        <is>
          <t>https://delcode.delaware.gov/title21/c029/index.html</t>
        </is>
      </c>
      <c r="D9" t="inlineStr">
        <is>
          <t>https://delcode.delaware.gov/title21/c021/sc01/</t>
        </is>
      </c>
      <c r="E9" t="inlineStr">
        <is>
          <t>https://delcode.delaware.gov/title18/c039/index.html</t>
        </is>
      </c>
      <c r="F9" t="inlineStr">
        <is>
          <t>https://delcode.delaware.gov/title10/c081/index.html</t>
        </is>
      </c>
      <c r="G9" t="inlineStr">
        <is>
          <t>https://delcode.delaware.gov/title10/c081/index.html</t>
        </is>
      </c>
    </row>
    <row r="10">
      <c r="A10" t="inlineStr">
        <is>
          <t>Florida</t>
        </is>
      </c>
      <c r="B10" t="inlineStr">
        <is>
          <t>https://www.flhsmv.gov/insurance/</t>
        </is>
      </c>
      <c r="C10" t="inlineStr">
        <is>
          <t>https://www.flhsmv.gov/insurance/</t>
        </is>
      </c>
      <c r="D10" t="inlineStr">
        <is>
          <t>https://www.flhsmv.gov/insurance/</t>
        </is>
      </c>
      <c r="E10" t="inlineStr">
        <is>
          <t>https://www.flsenate.gov/Laws/Statutes/2023/627.727</t>
        </is>
      </c>
      <c r="F10" t="inlineStr">
        <is>
          <t>https://www.flsenate.gov/Laws/Statutes/2023/95.11</t>
        </is>
      </c>
      <c r="G10" t="inlineStr">
        <is>
          <t>https://www.flsenate.gov/Laws/Statutes/2023/95.11</t>
        </is>
      </c>
    </row>
    <row r="11">
      <c r="A11" t="inlineStr">
        <is>
          <t>Georgia</t>
        </is>
      </c>
      <c r="B11" t="inlineStr">
        <is>
          <t>https://oci.georgia.gov/insurance-resources/auto</t>
        </is>
      </c>
      <c r="C11" t="inlineStr">
        <is>
          <t>https://oci.georgia.gov/insurance-resources/auto</t>
        </is>
      </c>
      <c r="D11" t="inlineStr">
        <is>
          <t>https://oci.georgia.gov/insurance-resources/auto</t>
        </is>
      </c>
      <c r="E11" t="inlineStr">
        <is>
          <t>https://oci.georgia.gov/insurance-resources/auto</t>
        </is>
      </c>
      <c r="F11" t="inlineStr">
        <is>
          <t>https://law.georgia.gov/georgia-code</t>
        </is>
      </c>
      <c r="G11" t="inlineStr">
        <is>
          <t>https://law.georgia.gov/georgia-code</t>
        </is>
      </c>
    </row>
    <row r="12">
      <c r="A12" t="inlineStr">
        <is>
          <t>Hawaii</t>
        </is>
      </c>
      <c r="B12" t="inlineStr">
        <is>
          <t>https://cca.hawaii.gov/wp-content/uploads/2026/01/Auto-Minimum-Limits-FAQs.pdf</t>
        </is>
      </c>
      <c r="C12" t="inlineStr">
        <is>
          <t>https://cca.hawaii.gov/wp-content/uploads/2026/01/Auto-Minimum-Limits-FAQs.pdf</t>
        </is>
      </c>
      <c r="D12" t="inlineStr">
        <is>
          <t>https://cca.hawaii.gov/wp-content/uploads/2026/01/Auto-Minimum-Limits-FAQs.pdf</t>
        </is>
      </c>
      <c r="E12" t="inlineStr">
        <is>
          <t>https://www.capitol.hawaii.gov/hrscurrent/Vol09_Ch0431-0435H/HRS0431/HRS_0431-0010C-0301.htm</t>
        </is>
      </c>
      <c r="F12" t="inlineStr">
        <is>
          <t>https://www.capitol.hawaii.gov/hrscurrent/Vol13_Ch0601-0676/HRS0657/HRS_0657-0007.htm</t>
        </is>
      </c>
      <c r="G12" t="inlineStr">
        <is>
          <t>https://www.capitol.hawaii.gov/hrscurrent/Vol13_Ch0601-0676/HRS0657/HRS_0657-0007.htm</t>
        </is>
      </c>
    </row>
    <row r="13">
      <c r="A13" t="inlineStr">
        <is>
          <t>Idaho</t>
        </is>
      </c>
      <c r="B13" t="inlineStr">
        <is>
          <t>https://doi.idaho.gov/consumers/auto-insurance/required-auto-coverage/</t>
        </is>
      </c>
      <c r="C13" t="inlineStr">
        <is>
          <t>https://doi.idaho.gov/consumers/auto-insurance/required-auto-coverage/</t>
        </is>
      </c>
      <c r="D13" t="inlineStr">
        <is>
          <t>https://doi.idaho.gov/consumers/auto-insurance/required-auto-coverage/</t>
        </is>
      </c>
      <c r="E13" t="inlineStr">
        <is>
          <t>https://legislature.idaho.gov/statutesrules/idstat/title41/t41ch25/sect41-2502/</t>
        </is>
      </c>
      <c r="F13" t="inlineStr">
        <is>
          <t>https://legislature.idaho.gov/statutesrules/idstat/title5/t5ch2/sect5-219/</t>
        </is>
      </c>
      <c r="G13" t="inlineStr">
        <is>
          <t>https://legislature.idaho.gov/statutesrules/idstat/title5/t5ch2/sect5-218/</t>
        </is>
      </c>
    </row>
    <row r="14">
      <c r="A14" t="inlineStr">
        <is>
          <t>Illinois</t>
        </is>
      </c>
      <c r="B14" t="inlineStr">
        <is>
          <t>https://idoi.illinois.gov/consumers/consumerinsurance/auto-insurance-shopping-guide.html</t>
        </is>
      </c>
      <c r="C14" t="inlineStr">
        <is>
          <t>https://idoi.illinois.gov/consumers/consumerinsurance/auto-insurance-shopping-guide.html</t>
        </is>
      </c>
      <c r="D14" t="inlineStr">
        <is>
          <t>https://idoi.illinois.gov/consumers/consumerinsurance/auto-insurance-shopping-guide.html</t>
        </is>
      </c>
      <c r="E14" t="inlineStr">
        <is>
          <t>https://www.ilga.gov/legislation/ilcs/fulltext.asp?DocName=021500050K143a</t>
        </is>
      </c>
      <c r="F14" t="inlineStr">
        <is>
          <t>https://www.ilga.gov/legislation/ilcs/fulltext.asp?DocName=073500050K13-202</t>
        </is>
      </c>
      <c r="G14" t="inlineStr">
        <is>
          <t>https://www.ilga.gov/legislation/ilcs/fulltext.asp?DocName=073500050K13-205</t>
        </is>
      </c>
    </row>
    <row r="15">
      <c r="A15" t="inlineStr">
        <is>
          <t>Indiana</t>
        </is>
      </c>
      <c r="B15" t="inlineStr">
        <is>
          <t>https://iga.in.gov/laws/2024/ic/titles/9</t>
        </is>
      </c>
      <c r="C15" t="inlineStr">
        <is>
          <t>https://iga.in.gov/laws/2024/ic/titles/9</t>
        </is>
      </c>
      <c r="D15" t="inlineStr">
        <is>
          <t>https://iga.in.gov/laws/2024/ic/titles/9</t>
        </is>
      </c>
      <c r="E15" t="inlineStr">
        <is>
          <t>https://iga.in.gov/laws/2024/ic/titles/27</t>
        </is>
      </c>
      <c r="F15" t="inlineStr">
        <is>
          <t>https://iga.in.gov/laws/2024/ic/titles/34</t>
        </is>
      </c>
      <c r="G15" t="inlineStr">
        <is>
          <t>https://iga.in.gov/laws/2024/ic/titles/34</t>
        </is>
      </c>
    </row>
    <row r="16">
      <c r="A16" t="inlineStr">
        <is>
          <t>Iowa</t>
        </is>
      </c>
      <c r="B16" t="inlineStr">
        <is>
          <t>https://www.legis.iowa.gov/docs/code/321A.1.pdf</t>
        </is>
      </c>
      <c r="C16" t="inlineStr">
        <is>
          <t>https://www.legis.iowa.gov/docs/code/321A.1.pdf</t>
        </is>
      </c>
      <c r="D16" t="inlineStr">
        <is>
          <t>https://www.legis.iowa.gov/docs/code/321A.1.pdf</t>
        </is>
      </c>
      <c r="E16" t="inlineStr">
        <is>
          <t>https://www.legis.iowa.gov/docs/code/516A.1.pdf</t>
        </is>
      </c>
      <c r="F16" t="inlineStr">
        <is>
          <t>https://www.legis.iowa.gov/docs/code/614.1.pdf</t>
        </is>
      </c>
      <c r="G16" t="inlineStr">
        <is>
          <t>https://www.legis.iowa.gov/law/iowaCode/sections?codeChapter=614&amp;year=2026</t>
        </is>
      </c>
    </row>
    <row r="17">
      <c r="A17" t="inlineStr">
        <is>
          <t>Kansas</t>
        </is>
      </c>
      <c r="B17" t="inlineStr">
        <is>
          <t>https://www.ksrevisor.org/statutes/chapters/ch40/040_031_0007.html</t>
        </is>
      </c>
      <c r="C17" t="inlineStr">
        <is>
          <t>https://www.ksrevisor.org/statutes/chapters/ch40/040_031_0007.html</t>
        </is>
      </c>
      <c r="D17" t="inlineStr">
        <is>
          <t>https://www.ksrevisor.org/statutes/chapters/ch40/040_031_0003.html</t>
        </is>
      </c>
      <c r="E17" t="inlineStr">
        <is>
          <t>https://www.ksrevisor.org/statutes/chapters/ch40/040_002_0084.html</t>
        </is>
      </c>
      <c r="F17" t="inlineStr">
        <is>
          <t>https://www.ksrevisor.org/statutes/chapters/ch60/060_005_0013.html</t>
        </is>
      </c>
      <c r="G17" t="inlineStr">
        <is>
          <t>https://www.ksrevisor.org/statutes/chapters/ch60/060_005_0013.html</t>
        </is>
      </c>
    </row>
    <row r="18">
      <c r="A18" t="inlineStr">
        <is>
          <t>Kentucky</t>
        </is>
      </c>
      <c r="B18" t="inlineStr">
        <is>
          <t>https://apps.legislature.ky.gov/law/statutes/statute.aspx?id=46758</t>
        </is>
      </c>
      <c r="C18" t="inlineStr">
        <is>
          <t>https://apps.legislature.ky.gov/law/statutes/statute.aspx?id=46758</t>
        </is>
      </c>
      <c r="D18" t="inlineStr">
        <is>
          <t>https://apps.legislature.ky.gov/law/statutes/statute.aspx?id=46753</t>
        </is>
      </c>
      <c r="E18" t="inlineStr">
        <is>
          <t>https://apps.legislature.ky.gov/law/statutes/statute.aspx?id=46724</t>
        </is>
      </c>
      <c r="F18" t="inlineStr">
        <is>
          <t>https://apps.legislature.ky.gov/law/statutes/statute.aspx?id=52947</t>
        </is>
      </c>
      <c r="G18" t="inlineStr">
        <is>
          <t>https://apps.legislature.ky.gov/law/statutes/statute.aspx?id=37402</t>
        </is>
      </c>
    </row>
    <row r="19">
      <c r="A19" t="inlineStr">
        <is>
          <t>Louisiana</t>
        </is>
      </c>
      <c r="B19" t="inlineStr">
        <is>
          <t>https://legis.la.gov/legis/Law.aspx?d=88470</t>
        </is>
      </c>
      <c r="C19" t="inlineStr">
        <is>
          <t>https://legis.la.gov/legis/Law.aspx?d=88470</t>
        </is>
      </c>
      <c r="D19" t="inlineStr">
        <is>
          <t>https://legis.la.gov/legis/Law.aspx?d=88470</t>
        </is>
      </c>
      <c r="E19" t="inlineStr">
        <is>
          <t>https://legis.la.gov/legis/Law.aspx?d=88606</t>
        </is>
      </c>
      <c r="F19" t="inlineStr">
        <is>
          <t>https://legis.la.gov/legis/Law.aspx?d=1383891</t>
        </is>
      </c>
      <c r="G19" t="inlineStr">
        <is>
          <t>https://legis.la.gov/legis/Law.aspx?d=1383891</t>
        </is>
      </c>
    </row>
    <row r="20">
      <c r="A20" t="inlineStr">
        <is>
          <t>Maine</t>
        </is>
      </c>
      <c r="B20" t="inlineStr">
        <is>
          <t>https://legislature.maine.gov/statutes/29-A/title29-Asec1605.html</t>
        </is>
      </c>
      <c r="C20" t="inlineStr">
        <is>
          <t>https://legislature.maine.gov/statutes/29-A/title29-Asec1605.html</t>
        </is>
      </c>
      <c r="D20" t="inlineStr">
        <is>
          <t>https://legislature.maine.gov/statutes/29-A/title29-Asec1605.html</t>
        </is>
      </c>
      <c r="E20" t="inlineStr">
        <is>
          <t>https://legislature.maine.gov/statutes/24-A/title24-Asec2902.html</t>
        </is>
      </c>
      <c r="F20" t="inlineStr">
        <is>
          <t>https://legislature.maine.gov/statutes/14/title14sec752.html</t>
        </is>
      </c>
      <c r="G20" t="inlineStr">
        <is>
          <t>https://legislature.maine.gov/statutes/14/title14sec752.html</t>
        </is>
      </c>
    </row>
    <row r="21">
      <c r="A21" t="inlineStr">
        <is>
          <t>Maryland</t>
        </is>
      </c>
      <c r="B21" t="inlineStr">
        <is>
          <t>https://mgaleg.maryland.gov/mgawebsite/Laws/StatuteText?article=gtr&amp;section=17-103</t>
        </is>
      </c>
      <c r="C21" t="inlineStr">
        <is>
          <t>https://mgaleg.maryland.gov/mgawebsite/Laws/StatuteText?article=gtr&amp;section=17-103</t>
        </is>
      </c>
      <c r="D21" t="inlineStr">
        <is>
          <t>https://mgaleg.maryland.gov/mgawebsite/Laws/StatuteText?article=gin&amp;section=19-505</t>
        </is>
      </c>
      <c r="E21" t="inlineStr">
        <is>
          <t>https://mgaleg.maryland.gov/mgawebsite/Laws/StatuteText?article=gin&amp;section=19-509</t>
        </is>
      </c>
      <c r="F21" t="inlineStr">
        <is>
          <t>https://mgaleg.maryland.gov/mgawebsite/Laws/StatuteText?article=gcj&amp;section=5-101</t>
        </is>
      </c>
      <c r="G21" t="inlineStr">
        <is>
          <t>https://mgaleg.maryland.gov/mgawebsite/Laws/StatuteText?article=gcj&amp;section=5-101</t>
        </is>
      </c>
    </row>
    <row r="22">
      <c r="A22" t="inlineStr">
        <is>
          <t>Massachusetts</t>
        </is>
      </c>
      <c r="B22" t="inlineStr">
        <is>
          <t>https://www.mass.gov/doc/2025-a-new-motor-vehicle-mandatory-coverage-limits/download</t>
        </is>
      </c>
      <c r="C22" t="inlineStr">
        <is>
          <t>https://www.mass.gov/doc/2025-a-new-motor-vehicle-mandatory-coverage-limits/download</t>
        </is>
      </c>
      <c r="D22" t="inlineStr">
        <is>
          <t>https://malegislature.gov/Laws/GeneralLaws/PartI/TitleXIV/Chapter90/Section34A</t>
        </is>
      </c>
      <c r="E22" t="inlineStr">
        <is>
          <t>https://www.mass.gov/doc/2025-a-new-motor-vehicle-mandatory-coverage-limits/download</t>
        </is>
      </c>
      <c r="F22" t="inlineStr">
        <is>
          <t>https://malegislature.gov/Laws/GeneralLaws/PartIII/TitleV/Chapter260/Section2A</t>
        </is>
      </c>
      <c r="G22" t="inlineStr">
        <is>
          <t>https://malegislature.gov/Laws/GeneralLaws/PartIII/TitleV/Chapter260/Section2A</t>
        </is>
      </c>
    </row>
    <row r="23">
      <c r="A23" t="inlineStr">
        <is>
          <t>Michigan</t>
        </is>
      </c>
      <c r="B23" t="inlineStr">
        <is>
          <t>https://www.michigan.gov/autoinsurance/choosing-coverage/choosing-bodily-injury-coverage</t>
        </is>
      </c>
      <c r="C23" t="inlineStr">
        <is>
          <t>https://www.michigan.gov/autoinsurance/choosing-coverage/choosing-bodily-injury-coverage</t>
        </is>
      </c>
      <c r="D23" t="inlineStr">
        <is>
          <t>https://www.michigan.gov/autoinsurance/choosing-coverage/personal-injury-protection-pip</t>
        </is>
      </c>
      <c r="E23" t="inlineStr">
        <is>
          <t>https://www.michigan.gov/difs/consumers/insurance/auto-insurance</t>
        </is>
      </c>
      <c r="F23" t="inlineStr">
        <is>
          <t>https://legislature.mi.gov/doc.aspx?mcl-600-5805</t>
        </is>
      </c>
      <c r="G23" t="inlineStr">
        <is>
          <t>https://legislature.mi.gov/doc.aspx?mcl-600-5805</t>
        </is>
      </c>
    </row>
    <row r="24">
      <c r="A24" t="inlineStr">
        <is>
          <t>Minnesota</t>
        </is>
      </c>
      <c r="B24" t="inlineStr">
        <is>
          <t>https://www.revisor.mn.gov/statutes/cite/65B.48</t>
        </is>
      </c>
      <c r="C24" t="inlineStr">
        <is>
          <t>https://www.revisor.mn.gov/statutes/cite/65B.48</t>
        </is>
      </c>
      <c r="D24" t="inlineStr">
        <is>
          <t>https://www.revisor.mn.gov/statutes/cite/65B.48</t>
        </is>
      </c>
      <c r="E24" t="inlineStr">
        <is>
          <t>https://www.revisor.mn.gov/statutes/cite/65B.49</t>
        </is>
      </c>
      <c r="F24" t="inlineStr">
        <is>
          <t>https://www.revisor.mn.gov/statutes/cite/541.07</t>
        </is>
      </c>
      <c r="G24" t="inlineStr">
        <is>
          <t>https://www.revisor.mn.gov/statutes/cite/541.07</t>
        </is>
      </c>
    </row>
    <row r="25">
      <c r="A25" t="inlineStr">
        <is>
          <t>Mississippi</t>
        </is>
      </c>
      <c r="B25" t="inlineStr">
        <is>
          <t>https://billstatus.ls.state.ms.us/documents/2024/pdf/mscode/63-15-43.pdf</t>
        </is>
      </c>
      <c r="C25" t="inlineStr">
        <is>
          <t>https://billstatus.ls.state.ms.us/documents/2024/pdf/mscode/63-15-43.pdf</t>
        </is>
      </c>
      <c r="D25" t="inlineStr">
        <is>
          <t>https://billstatus.ls.state.ms.us/documents/2024/pdf/mscode/63-15-43.pdf</t>
        </is>
      </c>
      <c r="E25" t="inlineStr">
        <is>
          <t>https://billstatus.ls.state.ms.us/documents/2024/pdf/mscode/83-11-101.pdf</t>
        </is>
      </c>
      <c r="F25" t="inlineStr">
        <is>
          <t>https://billstatus.ls.state.ms.us/documents/2024/pdf/mscode/15-1-49.pdf</t>
        </is>
      </c>
      <c r="G25" t="inlineStr">
        <is>
          <t>https://billstatus.ls.state.ms.us/documents/2024/pdf/mscode/15-1-49.pdf</t>
        </is>
      </c>
    </row>
    <row r="26">
      <c r="A26" t="inlineStr">
        <is>
          <t>Missouri</t>
        </is>
      </c>
      <c r="B26" t="inlineStr">
        <is>
          <t>https://dor.mo.gov/driver-license/insurance/</t>
        </is>
      </c>
      <c r="C26" t="inlineStr">
        <is>
          <t>https://dor.mo.gov/driver-license/insurance/</t>
        </is>
      </c>
      <c r="D26" t="inlineStr">
        <is>
          <t>https://dor.mo.gov/driver-license/insurance/</t>
        </is>
      </c>
      <c r="E26" t="inlineStr">
        <is>
          <t>https://dor.mo.gov/driver-license/insurance/</t>
        </is>
      </c>
      <c r="F26" t="inlineStr">
        <is>
          <t>https://revisor.mo.gov/main/OneSection.aspx?section=516.120</t>
        </is>
      </c>
      <c r="G26" t="inlineStr">
        <is>
          <t>https://revisor.mo.gov/main/OneSection.aspx?section=516.120</t>
        </is>
      </c>
    </row>
    <row r="27">
      <c r="A27" t="inlineStr">
        <is>
          <t>Montana</t>
        </is>
      </c>
      <c r="B27" t="inlineStr">
        <is>
          <t>https://mvdmt.gov/vehicle-insurance-and-verification/</t>
        </is>
      </c>
      <c r="C27" t="inlineStr">
        <is>
          <t>https://mvdmt.gov/vehicle-insurance-and-verification/</t>
        </is>
      </c>
      <c r="D27" t="inlineStr">
        <is>
          <t>https://mvdmt.gov/vehicle-insurance-and-verification/</t>
        </is>
      </c>
      <c r="E27" t="inlineStr">
        <is>
          <t>https://leg.mt.gov/bills/mca/title_0330/chapter_0230/part_0020/section_0010/0330-0230-0020-0010.html</t>
        </is>
      </c>
      <c r="F27" t="inlineStr">
        <is>
          <t>https://leg.mt.gov/bills/mca/title_0270/chapter_0020/part_0020/section_0040/0270-0020-0020-0040.html</t>
        </is>
      </c>
      <c r="G27" t="inlineStr">
        <is>
          <t>https://leg.mt.gov/bills/mca/title_0270/chapter_0020/part_0020/section_0040/0270-0020-0020-0040.html</t>
        </is>
      </c>
    </row>
    <row r="28">
      <c r="A28" t="inlineStr">
        <is>
          <t>Nebraska</t>
        </is>
      </c>
      <c r="B28" t="inlineStr">
        <is>
          <t>https://nebraskalegislature.gov/laws/statutes.php?statute=60-509</t>
        </is>
      </c>
      <c r="C28" t="inlineStr">
        <is>
          <t>https://nebraskalegislature.gov/laws/statutes.php?statute=60-509</t>
        </is>
      </c>
      <c r="D28" t="inlineStr">
        <is>
          <t>https://nebraskalegislature.gov/laws/statutes.php?statute=60-509</t>
        </is>
      </c>
      <c r="E28" t="inlineStr">
        <is>
          <t>https://nebraskalegislature.gov/laws/statutes.php?statute=44-6408</t>
        </is>
      </c>
      <c r="F28" t="inlineStr">
        <is>
          <t>https://nebraskalegislature.gov/laws/statutes.php?statute=25-207</t>
        </is>
      </c>
      <c r="G28" t="inlineStr">
        <is>
          <t>https://nebraskalegislature.gov/laws/statutes.php?statute=25-207</t>
        </is>
      </c>
    </row>
    <row r="29">
      <c r="A29" t="inlineStr">
        <is>
          <t>Nevada</t>
        </is>
      </c>
      <c r="B29" t="inlineStr">
        <is>
          <t>https://www.leg.state.nv.us/NRS/NRS-485.html</t>
        </is>
      </c>
      <c r="C29" t="inlineStr">
        <is>
          <t>https://www.leg.state.nv.us/NRS/NRS-485.html</t>
        </is>
      </c>
      <c r="D29" t="inlineStr">
        <is>
          <t>https://www.leg.state.nv.us/NRS/NRS-485.html</t>
        </is>
      </c>
      <c r="E29" t="inlineStr">
        <is>
          <t>https://www.leg.state.nv.us/NRS/NRS-687B.html</t>
        </is>
      </c>
      <c r="F29" t="inlineStr">
        <is>
          <t>https://www.leg.state.nv.us/NRS/NRS-011.html</t>
        </is>
      </c>
      <c r="G29" t="inlineStr">
        <is>
          <t>https://www.leg.state.nv.us/NRS/NRS-011.html</t>
        </is>
      </c>
    </row>
    <row r="30">
      <c r="A30" t="inlineStr">
        <is>
          <t>New Hampshire</t>
        </is>
      </c>
      <c r="B30" t="inlineStr">
        <is>
          <t>https://mm.nh.gov/files/uploads/nhid/documents/nh-auto-guide.pdf</t>
        </is>
      </c>
      <c r="C30" t="inlineStr">
        <is>
          <t>https://mm.nh.gov/files/uploads/nhid/documents/nh-auto-guide.pdf</t>
        </is>
      </c>
      <c r="D30" t="inlineStr">
        <is>
          <t>https://mm.nh.gov/files/uploads/nhid/documents/nh-auto-guide.pdf</t>
        </is>
      </c>
      <c r="E30" t="inlineStr">
        <is>
          <t>https://www.gencourt.state.nh.us/rsa/html/XXI/264/264-15.htm</t>
        </is>
      </c>
      <c r="F30" t="inlineStr">
        <is>
          <t>https://www.gencourt.state.nh.us/rsa/html/LV/508/508-4.htm</t>
        </is>
      </c>
      <c r="G30" t="inlineStr">
        <is>
          <t>https://www.gencourt.state.nh.us/rsa/html/LV/508/508-4.htm</t>
        </is>
      </c>
    </row>
    <row r="31">
      <c r="A31" t="inlineStr">
        <is>
          <t>New Jersey</t>
        </is>
      </c>
      <c r="B31" t="inlineStr">
        <is>
          <t>https://www.nj.gov/dobi/division_consumers/insurance/standardpolicy.html</t>
        </is>
      </c>
      <c r="C31" t="inlineStr">
        <is>
          <t>https://www.nj.gov/dobi/division_consumers/insurance/standardpolicy.html</t>
        </is>
      </c>
      <c r="D31" t="inlineStr">
        <is>
          <t>https://www.nj.gov/dobi/division_consumers/insurance/standardpolicy.html</t>
        </is>
      </c>
      <c r="E31" t="inlineStr">
        <is>
          <t>https://www.nj.gov/dobi/bulletins/blt25_06.pdf</t>
        </is>
      </c>
      <c r="F31" t="inlineStr">
        <is>
          <t>https://www.njleg.state.nj.us/statutes/2A/14-2</t>
        </is>
      </c>
      <c r="G31" t="inlineStr">
        <is>
          <t>https://www.njleg.state.nj.us/bill-search/2022/S3333</t>
        </is>
      </c>
    </row>
    <row r="32">
      <c r="A32" t="inlineStr">
        <is>
          <t>New Mexico</t>
        </is>
      </c>
      <c r="B32" t="inlineStr">
        <is>
          <t>https://www.mvd.newmexico.gov/vehicles/insurance/</t>
        </is>
      </c>
      <c r="C32" t="inlineStr">
        <is>
          <t>https://www.mvd.newmexico.gov/vehicles/insurance/</t>
        </is>
      </c>
      <c r="D32" t="inlineStr">
        <is>
          <t>https://www.mvd.newmexico.gov/vehicles/insurance/</t>
        </is>
      </c>
      <c r="E32" t="inlineStr">
        <is>
          <t>https://nmonesource.com/nmos/nmsa/en/item/4394/index.do</t>
        </is>
      </c>
      <c r="F32" t="inlineStr">
        <is>
          <t>https://nmonesource.com/nmos/nmsa/en/item/4355/index.do</t>
        </is>
      </c>
      <c r="G32" t="inlineStr">
        <is>
          <t>https://nmonesource.com/nmos/nmsa/en/item/4355/index.do</t>
        </is>
      </c>
    </row>
    <row r="33">
      <c r="A33" t="inlineStr">
        <is>
          <t>New York</t>
        </is>
      </c>
      <c r="B33" t="inlineStr">
        <is>
          <t>https://dmv.ny.gov/insurance/insurance-requirements</t>
        </is>
      </c>
      <c r="C33" t="inlineStr">
        <is>
          <t>https://dmv.ny.gov/insurance/insurance-requirements</t>
        </is>
      </c>
      <c r="D33" t="inlineStr">
        <is>
          <t>https://www.dfs.ny.gov/faqs/consumer-auto/how-much-auto-insurance-must-i-carry</t>
        </is>
      </c>
      <c r="E33" t="inlineStr">
        <is>
          <t>https://www.dfs.ny.gov/faqs/consumer-auto/how-much-auto-insurance-must-i-carry</t>
        </is>
      </c>
      <c r="F33" t="inlineStr">
        <is>
          <t>https://www.nysenate.gov/legislation/laws/CVP/214</t>
        </is>
      </c>
      <c r="G33" t="inlineStr">
        <is>
          <t>https://www.nysenate.gov/legislation/laws/CVP/214</t>
        </is>
      </c>
    </row>
    <row r="34">
      <c r="A34" t="inlineStr">
        <is>
          <t>North Carolina</t>
        </is>
      </c>
      <c r="B34" t="inlineStr">
        <is>
          <t>https://www.ncdot.gov/dmv/title-registration/insurance-requirements/Pages/default.aspx</t>
        </is>
      </c>
      <c r="C34" t="inlineStr">
        <is>
          <t>https://www.ncdot.gov/dmv/title-registration/insurance-requirements/Pages/default.aspx</t>
        </is>
      </c>
      <c r="D34" t="inlineStr">
        <is>
          <t>https://www.ncdot.gov/dmv/title-registration/insurance-requirements/Pages/default.aspx</t>
        </is>
      </c>
      <c r="E34" t="inlineStr">
        <is>
          <t>https://www.ncleg.gov/EnactedLegislation/Statutes/PDF/BySection/Chapter_20/GS_20-279.21.pdf</t>
        </is>
      </c>
      <c r="F34" t="inlineStr">
        <is>
          <t>https://www.ncleg.gov/EnactedLegislation/Statutes/HTML/BySection/Chapter_1/GS_1-52.html</t>
        </is>
      </c>
      <c r="G34" t="inlineStr">
        <is>
          <t>https://www.ncleg.gov/EnactedLegislation/Statutes/HTML/BySection/Chapter_1/GS_1-52.html</t>
        </is>
      </c>
    </row>
    <row r="35">
      <c r="A35" t="inlineStr">
        <is>
          <t>North Dakota</t>
        </is>
      </c>
      <c r="B35" t="inlineStr">
        <is>
          <t>https://ndlegis.gov/cencode/t39c16-1.pdf</t>
        </is>
      </c>
      <c r="C35" t="inlineStr">
        <is>
          <t>https://ndlegis.gov/cencode/t39c16-1.pdf</t>
        </is>
      </c>
      <c r="D35" t="inlineStr">
        <is>
          <t>https://ndlegis.gov/cencode/t26-41.pdf</t>
        </is>
      </c>
      <c r="E35" t="inlineStr">
        <is>
          <t>https://ndlegis.gov/cencode/t26-40.pdf</t>
        </is>
      </c>
      <c r="F35" t="inlineStr">
        <is>
          <t>https://www.ndlegis.gov/cencode/t28-01.pdf</t>
        </is>
      </c>
      <c r="G35" t="inlineStr">
        <is>
          <t>https://www.ndlegis.gov/cencode/t28-01.pdf</t>
        </is>
      </c>
    </row>
    <row r="36">
      <c r="A36" t="inlineStr">
        <is>
          <t>Ohio</t>
        </is>
      </c>
      <c r="B36" t="inlineStr">
        <is>
          <t>https://codes.ohio.gov/ohio-revised-code/section-4509.51</t>
        </is>
      </c>
      <c r="C36" t="inlineStr">
        <is>
          <t>https://codes.ohio.gov/ohio-revised-code/section-4509.51</t>
        </is>
      </c>
      <c r="D36" t="inlineStr">
        <is>
          <t>https://codes.ohio.gov/ohio-revised-code/section-4509.51</t>
        </is>
      </c>
      <c r="E36" t="inlineStr">
        <is>
          <t>https://codes.ohio.gov/ohio-revised-code/section-3937.18</t>
        </is>
      </c>
      <c r="F36" t="inlineStr">
        <is>
          <t>https://codes.ohio.gov/ohio-revised-code/section-2305.10</t>
        </is>
      </c>
      <c r="G36" t="inlineStr">
        <is>
          <t>https://codes.ohio.gov/ohio-revised-code/section-2305.10</t>
        </is>
      </c>
    </row>
    <row r="37">
      <c r="A37" t="inlineStr">
        <is>
          <t>Oklahoma</t>
        </is>
      </c>
      <c r="B37" t="inlineStr">
        <is>
          <t>https://www.oid.ok.gov/wp-content/uploads/2020/01/2020_Auto-Brochure.pdf</t>
        </is>
      </c>
      <c r="C37" t="inlineStr">
        <is>
          <t>https://www.oid.ok.gov/wp-content/uploads/2020/01/2020_Auto-Brochure.pdf</t>
        </is>
      </c>
      <c r="D37" t="inlineStr">
        <is>
          <t>https://www.oid.ok.gov/consumers/insurance-basics/auto-insurance/</t>
        </is>
      </c>
      <c r="E37" t="inlineStr">
        <is>
          <t>https://oklegal.onenet.net/oklegal-cgi/get_statute?99/Title.36/36-3636.html=</t>
        </is>
      </c>
      <c r="F37" t="inlineStr">
        <is>
          <t>https://www.oscn.net/applications/oscn/Index.asp?ftdb=STOKST12</t>
        </is>
      </c>
      <c r="G37" t="inlineStr">
        <is>
          <t>https://www.oscn.net/applications/oscn/Index.asp?ftdb=STOKST12</t>
        </is>
      </c>
    </row>
    <row r="38">
      <c r="A38" t="inlineStr">
        <is>
          <t>Oregon</t>
        </is>
      </c>
      <c r="B38" t="inlineStr">
        <is>
          <t>https://www.oregonlegislature.gov/bills_laws/ors/ors806.html</t>
        </is>
      </c>
      <c r="C38" t="inlineStr">
        <is>
          <t>https://www.oregonlegislature.gov/bills_laws/ors/ors806.html</t>
        </is>
      </c>
      <c r="D38" t="inlineStr">
        <is>
          <t>https://www.oregonlegislature.gov/bills_laws/ors/ors742.html</t>
        </is>
      </c>
      <c r="E38" t="inlineStr">
        <is>
          <t>https://www.oregonlegislature.gov/bills_laws/ors/ors742.html</t>
        </is>
      </c>
      <c r="F38" t="inlineStr">
        <is>
          <t>https://www.oregonlegislature.gov/bills_laws/ors/ors12.html</t>
        </is>
      </c>
      <c r="G38" t="inlineStr">
        <is>
          <t>https://www.oregonlegislature.gov/bills_laws/ors/ors012.html</t>
        </is>
      </c>
    </row>
    <row r="39">
      <c r="A39" t="inlineStr">
        <is>
          <t>Pennsylvania</t>
        </is>
      </c>
      <c r="B39" t="inlineStr">
        <is>
          <t>https://www.legis.state.pa.us/WU01/LI/LI/CT/HTM/75/00.017.002.000..HTM</t>
        </is>
      </c>
      <c r="C39" t="inlineStr">
        <is>
          <t>https://www.legis.state.pa.us/WU01/LI/LI/CT/HTM/75/00.017.002.000..HTM</t>
        </is>
      </c>
      <c r="D39" t="inlineStr">
        <is>
          <t>https://www.legis.state.pa.us/WU01/LI/LI/CT/HTM/75/00.017.011.000..HTM</t>
        </is>
      </c>
      <c r="E39" t="inlineStr">
        <is>
          <t>https://www.legis.state.pa.us/WU01/LI/LI/CT/HTM/75/00.017.031.000..HTM</t>
        </is>
      </c>
      <c r="F39" t="inlineStr">
        <is>
          <t>https://www.legis.state.pa.us/WU01/LI/LI/CT/HTM/42/00.055.024.000..HTM</t>
        </is>
      </c>
      <c r="G39" t="inlineStr">
        <is>
          <t>https://www.legis.state.pa.us/WU01/LI/LI/CT/HTM/42/00.055.024.000..HTM</t>
        </is>
      </c>
    </row>
    <row r="40">
      <c r="A40" t="inlineStr">
        <is>
          <t>Rhode Island</t>
        </is>
      </c>
      <c r="B40" t="inlineStr">
        <is>
          <t>http://webserver.rilegislature.gov/Statutes/TITLE31/31-47/31-47-2.htm</t>
        </is>
      </c>
      <c r="C40" t="inlineStr">
        <is>
          <t>http://webserver.rilegislature.gov/Statutes/TITLE31/31-47/31-47-2.htm</t>
        </is>
      </c>
      <c r="D40" t="inlineStr">
        <is>
          <t>http://webserver.rilegislature.gov/Statutes/TITLE31/31-47/31-47-2.htm</t>
        </is>
      </c>
      <c r="E40" t="inlineStr">
        <is>
          <t>http://webserver.rilegislature.gov/Statutes/TITLE27/27-7/27-7-2.1.htm</t>
        </is>
      </c>
      <c r="F40" t="inlineStr">
        <is>
          <t>http://webserver.rilegislature.gov/Statutes/TITLE9/9-1/9-1-14.htm</t>
        </is>
      </c>
      <c r="G40" t="inlineStr">
        <is>
          <t>http://webserver.rilegislature.gov/Statutes/TITLE9/9-1/9-1-14.htm</t>
        </is>
      </c>
    </row>
    <row r="41">
      <c r="A41" t="inlineStr">
        <is>
          <t>South Carolina</t>
        </is>
      </c>
      <c r="B41" t="inlineStr">
        <is>
          <t>https://www.scstatehouse.gov/code/t38c077.php</t>
        </is>
      </c>
      <c r="C41" t="inlineStr">
        <is>
          <t>https://www.scstatehouse.gov/code/t38c077.php</t>
        </is>
      </c>
      <c r="D41" t="inlineStr">
        <is>
          <t>https://doi.sc.gov/605/Auto-Insurance</t>
        </is>
      </c>
      <c r="E41" t="inlineStr">
        <is>
          <t>https://www.scstatehouse.gov/code/t38c077.php</t>
        </is>
      </c>
      <c r="F41" t="inlineStr">
        <is>
          <t>https://www.scstatehouse.gov/code/t15c003.php</t>
        </is>
      </c>
      <c r="G41" t="inlineStr">
        <is>
          <t>https://www.scstatehouse.gov/code/t15c003.php</t>
        </is>
      </c>
    </row>
    <row r="42">
      <c r="A42" t="inlineStr">
        <is>
          <t>South Dakota</t>
        </is>
      </c>
      <c r="B42" t="inlineStr">
        <is>
          <t>https://sdlegislature.gov/Statutes/32-35-70</t>
        </is>
      </c>
      <c r="C42" t="inlineStr">
        <is>
          <t>https://sdlegislature.gov/Statutes/32-35-70</t>
        </is>
      </c>
      <c r="D42" t="inlineStr">
        <is>
          <t>https://sdlegislature.gov/Statutes/32-35-70</t>
        </is>
      </c>
      <c r="E42" t="inlineStr">
        <is>
          <t>https://sdlegislature.gov/Statutes/58-11-9</t>
        </is>
      </c>
      <c r="F42" t="inlineStr">
        <is>
          <t>https://sdlegislature.gov/Statutes/Codified_Laws/2038151</t>
        </is>
      </c>
      <c r="G42" t="inlineStr">
        <is>
          <t>https://sdlegislature.gov/Statutes/Codified_Laws/DisplayStatute.aspx?Type=Statute&amp;Statute=15-2-13</t>
        </is>
      </c>
    </row>
    <row r="43">
      <c r="A43" t="inlineStr">
        <is>
          <t>Tennessee</t>
        </is>
      </c>
      <c r="B43" t="inlineStr">
        <is>
          <t>https://advance.lexis.com/documentpage/?pdmfid=1000516&amp;crid=a6cbe5f6-69a6-4bfb-bf4f-46768d8c6db8&amp;config=025054JABlOTJjNmIyNi0wYjI0LTRjZGEtYWE5ZC0zNGFhOWNhMjFlNDgKAFBvZENhdGFsb2cDFQ14bX2GfyBTaI9WcPX5&amp;pddocfullpath=%2Fshared%2Fdocument%2Fstatutes-legislation%2Furn%3AcontentItem%3A4X8K-TFT0-R03N-44H7-00008-00&amp;pdcontentcomponentid=234179&amp;pdteaserkey=sr0&amp;pditab=allpods&amp;ecomp=6s65kkk&amp;earg=sr0&amp;prid=67e32d3a-40ae-46c4-a134-3c3460ac6d59</t>
        </is>
      </c>
      <c r="C43" t="inlineStr">
        <is>
          <t>https://advance.lexis.com/documentpage/?pdmfid=1000516&amp;crid=a6cbe5f6-69a6-4bfb-bf4f-46768d8c6db8&amp;config=025054JABlOTJjNmIyNi0wYjI0LTRjZGEtYWE5ZC0zNGFhOWNhMjFlNDgKAFBvZENhdGFsb2cDFQ14bX2GfyBTaI9WcPX5&amp;pddocfullpath=%2Fshared%2Fdocument%2Fstatutes-legislation%2Furn%3AcontentItem%3A4X8K-TFT0-R03N-44H7-00008-00&amp;pdcontentcomponentid=234179&amp;pdteaserkey=sr0&amp;pditab=allpods&amp;ecomp=6s65kkk&amp;earg=sr0&amp;prid=67e32d3a-40ae-46c4-a134-3c3460ac6d59</t>
        </is>
      </c>
      <c r="D43" t="inlineStr">
        <is>
          <t>https://www.tn.gov/revenue/title-and-registration/drive-insured-tennessee/why-you-should-have-insurance.html</t>
        </is>
      </c>
      <c r="E43" t="inlineStr">
        <is>
          <t>https://www.tn.gov/commerce/news/2017/4/28/tdci-ridesharing-drivers-should-check-insurance-coverage-for-gap.html</t>
        </is>
      </c>
      <c r="F43" t="inlineStr">
        <is>
          <t>https://advance.lexis.com/container?config=014CJAA5ZGVhZjA3NS02MmMzLTRlZWQtOGJjNC00YzQ1MmZlNzc2YWYKAFBvZENhdGFsb2e9zYpNUjTRaIWVfyrur9ud</t>
        </is>
      </c>
      <c r="G43" t="inlineStr">
        <is>
          <t>https://advance.lexis.com/container?config=014CJAA5ZGVhZjA3NS02MmMzLTRlZWQtOGJjNC00YzQ1MmZlNzc2YWYKAFBvZENhdGFsb2e9zYpNUjTRaIWVfyrur9ud</t>
        </is>
      </c>
    </row>
    <row r="44">
      <c r="A44" t="inlineStr">
        <is>
          <t>Texas</t>
        </is>
      </c>
      <c r="B44" t="inlineStr">
        <is>
          <t>https://statutes.capitol.texas.gov/Docs/TN/htm/TN.601.htm</t>
        </is>
      </c>
      <c r="C44" t="inlineStr">
        <is>
          <t>https://statutes.capitol.texas.gov/Docs/TN/htm/TN.601.htm</t>
        </is>
      </c>
      <c r="D44" t="inlineStr">
        <is>
          <t>https://statutes.capitol.texas.gov/Docs/IN/htm/IN.1952.htm</t>
        </is>
      </c>
      <c r="E44" t="inlineStr">
        <is>
          <t>https://statutes.capitol.texas.gov/Docs/IN/htm/IN.1952.htm</t>
        </is>
      </c>
      <c r="F44" t="inlineStr">
        <is>
          <t>https://statutes.capitol.texas.gov/Docs/CP/htm/CP.16.htm</t>
        </is>
      </c>
      <c r="G44" t="inlineStr">
        <is>
          <t>https://statutes.capitol.texas.gov/Docs/CP/htm/CP.16.htm</t>
        </is>
      </c>
    </row>
    <row r="45">
      <c r="A45" t="inlineStr">
        <is>
          <t>Utah</t>
        </is>
      </c>
      <c r="B45" t="inlineStr">
        <is>
          <t>https://le.utah.gov/xcode/Title31A/Chapter22/31A-22-S304.html</t>
        </is>
      </c>
      <c r="C45" t="inlineStr">
        <is>
          <t>https://le.utah.gov/xcode/Title31A/Chapter22/31A-22-S304.html</t>
        </is>
      </c>
      <c r="D45" t="inlineStr">
        <is>
          <t>https://le.utah.gov/xcode/Title31A/Chapter22/31A-22-S307.html</t>
        </is>
      </c>
      <c r="E45" t="inlineStr">
        <is>
          <t>https://le.utah.gov/xcode/Title31A/Chapter22/31A-22-S305.html</t>
        </is>
      </c>
      <c r="F45" t="inlineStr">
        <is>
          <t>https://le.utah.gov/xcode/Title78B/Chapter2/78B-2-S307.html</t>
        </is>
      </c>
      <c r="G45" t="inlineStr">
        <is>
          <t>https://le.utah.gov/xcode/Title78B/Chapter2/78B-2-S305.html</t>
        </is>
      </c>
    </row>
    <row r="46">
      <c r="A46" t="inlineStr">
        <is>
          <t>Vermont</t>
        </is>
      </c>
      <c r="B46" t="inlineStr">
        <is>
          <t>https://legislature.vermont.gov/statutes/section/23/011/00801</t>
        </is>
      </c>
      <c r="C46" t="inlineStr">
        <is>
          <t>https://legislature.vermont.gov/statutes/section/23/011/00801</t>
        </is>
      </c>
      <c r="D46" t="inlineStr">
        <is>
          <t>https://legislature.vermont.gov/statutes/section/23/011/00801</t>
        </is>
      </c>
      <c r="E46" t="inlineStr">
        <is>
          <t>https://legislature.vermont.gov/statutes/section/23/011/00941</t>
        </is>
      </c>
      <c r="F46" t="inlineStr">
        <is>
          <t>https://legislature.vermont.gov/statutes/section/12/023/00512</t>
        </is>
      </c>
      <c r="G46" t="inlineStr">
        <is>
          <t>https://legislature.vermont.gov/statutes/section/12/023/00512</t>
        </is>
      </c>
    </row>
    <row r="47">
      <c r="A47" t="inlineStr">
        <is>
          <t>Virginia</t>
        </is>
      </c>
      <c r="B47" t="inlineStr">
        <is>
          <t>https://law.lis.virginia.gov/vacode/title46.2/chapter3/section46.2-472/</t>
        </is>
      </c>
      <c r="C47" t="inlineStr">
        <is>
          <t>https://law.lis.virginia.gov/vacode/title46.2/chapter3/section46.2-472/</t>
        </is>
      </c>
      <c r="D47" t="inlineStr">
        <is>
          <t>https://law.lis.virginia.gov/vacode/title46.2/chapter3/section46.2-472/</t>
        </is>
      </c>
      <c r="E47" t="inlineStr">
        <is>
          <t>https://law.lis.virginia.gov/vacode/title38.2/chapter22/section38.2-2206/</t>
        </is>
      </c>
      <c r="F47" t="inlineStr">
        <is>
          <t>https://law.lis.virginia.gov/vacode/title8.01/chapter4/section8.01-243/</t>
        </is>
      </c>
      <c r="G47" t="inlineStr">
        <is>
          <t>https://law.lis.virginia.gov/vacode/title8.01/chapter4/section8.01-243/</t>
        </is>
      </c>
    </row>
    <row r="48">
      <c r="A48" t="inlineStr">
        <is>
          <t>Washington</t>
        </is>
      </c>
      <c r="B48" t="inlineStr">
        <is>
          <t>https://app.leg.wa.gov/RCW/default.aspx?cite=46.29.090</t>
        </is>
      </c>
      <c r="C48" t="inlineStr">
        <is>
          <t>https://app.leg.wa.gov/RCW/default.aspx?cite=46.29.090</t>
        </is>
      </c>
      <c r="D48" t="inlineStr">
        <is>
          <t>https://app.leg.wa.gov/RCW/default.aspx?cite=48.22.095</t>
        </is>
      </c>
      <c r="E48" t="inlineStr">
        <is>
          <t>https://app.leg.wa.gov/RCW/default.aspx?cite=48.22.030</t>
        </is>
      </c>
      <c r="F48" t="inlineStr">
        <is>
          <t>https://app.leg.wa.gov/RCW/default.aspx?cite=4.16.080</t>
        </is>
      </c>
      <c r="G48" t="inlineStr">
        <is>
          <t>https://app.leg.wa.gov/RCW/default.aspx?cite=4.16.080</t>
        </is>
      </c>
    </row>
    <row r="49">
      <c r="A49" t="inlineStr">
        <is>
          <t>West Virginia</t>
        </is>
      </c>
      <c r="B49" t="inlineStr">
        <is>
          <t>https://code.wvlegislature.gov/17D-4-2/</t>
        </is>
      </c>
      <c r="C49" t="inlineStr">
        <is>
          <t>https://code.wvlegislature.gov/17D-4-2/</t>
        </is>
      </c>
      <c r="D49" t="inlineStr">
        <is>
          <t>https://code.wvlegislature.gov/17D-4-2/</t>
        </is>
      </c>
      <c r="E49" t="inlineStr">
        <is>
          <t>https://code.wvlegislature.gov/33-6-31/</t>
        </is>
      </c>
      <c r="F49" t="inlineStr">
        <is>
          <t>https://code.wvlegislature.gov/55-2-12/</t>
        </is>
      </c>
      <c r="G49" t="inlineStr">
        <is>
          <t>https://code.wvlegislature.gov/55-2-12/</t>
        </is>
      </c>
    </row>
    <row r="50">
      <c r="A50" t="inlineStr">
        <is>
          <t>Wisconsin</t>
        </is>
      </c>
      <c r="B50" t="inlineStr">
        <is>
          <t>https://docs.legis.wisconsin.gov/statutes/statutes/344/iii/33</t>
        </is>
      </c>
      <c r="C50" t="inlineStr">
        <is>
          <t>https://docs.legis.wisconsin.gov/statutes/statutes/344/iii/33</t>
        </is>
      </c>
      <c r="D50" t="inlineStr">
        <is>
          <t>https://docs.legis.wisconsin.gov/statutes/statutes/344/iii/33</t>
        </is>
      </c>
      <c r="E50" t="inlineStr">
        <is>
          <t>https://docs.legis.wisconsin.gov/statutes/statutes/632/32</t>
        </is>
      </c>
      <c r="F50" t="inlineStr">
        <is>
          <t>https://docs.legis.wisconsin.gov/statutes/statutes/893/54</t>
        </is>
      </c>
      <c r="G50" t="inlineStr">
        <is>
          <t>https://docs.legis.wisconsin.gov/statutes/statutes/893/52</t>
        </is>
      </c>
    </row>
    <row r="51">
      <c r="A51" t="inlineStr">
        <is>
          <t>Wyoming</t>
        </is>
      </c>
      <c r="B51" t="inlineStr">
        <is>
          <t>https://wyoleg.gov/statutes/compress/title31.pdf</t>
        </is>
      </c>
      <c r="C51" t="inlineStr">
        <is>
          <t>https://wyoleg.gov/statutes/compress/title31.pdf</t>
        </is>
      </c>
      <c r="D51" t="inlineStr">
        <is>
          <t>https://wyoleg.gov/statutes/compress/title31.pdf</t>
        </is>
      </c>
      <c r="E51" t="inlineStr">
        <is>
          <t>https://wyoleg.gov/statutes/compress/title26.pdf</t>
        </is>
      </c>
      <c r="F51" t="inlineStr">
        <is>
          <t>https://wyoleg.gov/statutes/compress/title1.pdf</t>
        </is>
      </c>
      <c r="G51" t="inlineStr">
        <is>
          <t>https://wyoleg.gov/statutes/compress/title1.pdf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24" customWidth="1" style="355" min="1" max="1"/>
    <col width="18" customWidth="1" style="355" min="2" max="2"/>
    <col width="24" customWidth="1" style="355" min="3" max="3"/>
    <col width="18" customWidth="1" style="355" min="4" max="4"/>
    <col width="24" customWidth="1" style="355" min="5" max="5"/>
    <col width="12" customWidth="1" style="355" min="6" max="6"/>
    <col width="60" customWidth="1" style="355" min="7" max="7"/>
  </cols>
  <sheetData>
    <row r="1">
      <c r="A1" s="500" t="inlineStr">
        <is>
          <t>Dataset</t>
        </is>
      </c>
      <c r="B1" s="500" t="inlineStr">
        <is>
          <t>State</t>
        </is>
      </c>
      <c r="C1" s="500" t="inlineStr">
        <is>
          <t>Citation Field</t>
        </is>
      </c>
      <c r="D1" s="500" t="inlineStr">
        <is>
          <t>Citation Present</t>
        </is>
      </c>
      <c r="E1" s="500" t="inlineStr">
        <is>
          <t>URL / Hyperlink Present</t>
        </is>
      </c>
      <c r="F1" s="500" t="inlineStr">
        <is>
          <t>Status</t>
        </is>
      </c>
      <c r="G1" s="500" t="inlineStr">
        <is>
          <t>Notes</t>
        </is>
      </c>
    </row>
    <row r="2">
      <c r="A2" t="inlineStr">
        <is>
          <t>Minimum Requirements</t>
        </is>
      </c>
      <c r="B2" t="inlineStr">
        <is>
          <t>Alabama</t>
        </is>
      </c>
      <c r="C2" t="inlineStr">
        <is>
          <t>BI Source</t>
        </is>
      </c>
      <c r="D2" t="inlineStr">
        <is>
          <t>Yes</t>
        </is>
      </c>
      <c r="E2" t="inlineStr">
        <is>
          <t>Yes</t>
        </is>
      </c>
      <c r="F2" s="501" t="inlineStr">
        <is>
          <t>Pass</t>
        </is>
      </c>
      <c r="G2" t="inlineStr"/>
    </row>
    <row r="3">
      <c r="A3" t="inlineStr">
        <is>
          <t>Minimum Requirements</t>
        </is>
      </c>
      <c r="B3" t="inlineStr">
        <is>
          <t>Alabama</t>
        </is>
      </c>
      <c r="C3" t="inlineStr">
        <is>
          <t>PD Source</t>
        </is>
      </c>
      <c r="D3" t="inlineStr">
        <is>
          <t>Yes</t>
        </is>
      </c>
      <c r="E3" t="inlineStr">
        <is>
          <t>Yes</t>
        </is>
      </c>
      <c r="F3" s="501" t="inlineStr">
        <is>
          <t>Pass</t>
        </is>
      </c>
      <c r="G3" t="inlineStr"/>
    </row>
    <row r="4">
      <c r="A4" t="inlineStr">
        <is>
          <t>Minimum Requirements</t>
        </is>
      </c>
      <c r="B4" t="inlineStr">
        <is>
          <t>Alabama</t>
        </is>
      </c>
      <c r="C4" t="inlineStr">
        <is>
          <t>PIP Source</t>
        </is>
      </c>
      <c r="D4" t="inlineStr">
        <is>
          <t>Yes</t>
        </is>
      </c>
      <c r="E4" t="inlineStr">
        <is>
          <t>Yes</t>
        </is>
      </c>
      <c r="F4" s="501" t="inlineStr">
        <is>
          <t>Pass</t>
        </is>
      </c>
      <c r="G4" t="inlineStr"/>
    </row>
    <row r="5">
      <c r="A5" t="inlineStr">
        <is>
          <t>Minimum Requirements</t>
        </is>
      </c>
      <c r="B5" t="inlineStr">
        <is>
          <t>Alabama</t>
        </is>
      </c>
      <c r="C5" t="inlineStr">
        <is>
          <t>UM/UIM Source</t>
        </is>
      </c>
      <c r="D5" t="inlineStr">
        <is>
          <t>Yes</t>
        </is>
      </c>
      <c r="E5" t="inlineStr">
        <is>
          <t>Yes</t>
        </is>
      </c>
      <c r="F5" s="501" t="inlineStr">
        <is>
          <t>Pass</t>
        </is>
      </c>
      <c r="G5" t="inlineStr"/>
    </row>
    <row r="6">
      <c r="A6" t="inlineStr">
        <is>
          <t>Minimum Requirements</t>
        </is>
      </c>
      <c r="B6" t="inlineStr">
        <is>
          <t>Alabama</t>
        </is>
      </c>
      <c r="C6" t="inlineStr">
        <is>
          <t>BI SOL Source</t>
        </is>
      </c>
      <c r="D6" t="inlineStr">
        <is>
          <t>Yes</t>
        </is>
      </c>
      <c r="E6" t="inlineStr">
        <is>
          <t>Yes</t>
        </is>
      </c>
      <c r="F6" s="501" t="inlineStr">
        <is>
          <t>Pass</t>
        </is>
      </c>
      <c r="G6" t="inlineStr"/>
    </row>
    <row r="7">
      <c r="A7" t="inlineStr">
        <is>
          <t>Minimum Requirements</t>
        </is>
      </c>
      <c r="B7" t="inlineStr">
        <is>
          <t>Alabama</t>
        </is>
      </c>
      <c r="C7" t="inlineStr">
        <is>
          <t>PD SOL Source</t>
        </is>
      </c>
      <c r="D7" t="inlineStr">
        <is>
          <t>Yes</t>
        </is>
      </c>
      <c r="E7" t="inlineStr">
        <is>
          <t>Yes</t>
        </is>
      </c>
      <c r="F7" s="501" t="inlineStr">
        <is>
          <t>Pass</t>
        </is>
      </c>
      <c r="G7" t="inlineStr"/>
    </row>
    <row r="8">
      <c r="A8" t="inlineStr">
        <is>
          <t>Minimum Requirements</t>
        </is>
      </c>
      <c r="B8" t="inlineStr">
        <is>
          <t>Alaska</t>
        </is>
      </c>
      <c r="C8" t="inlineStr">
        <is>
          <t>BI Source</t>
        </is>
      </c>
      <c r="D8" t="inlineStr">
        <is>
          <t>Yes</t>
        </is>
      </c>
      <c r="E8" t="inlineStr">
        <is>
          <t>Yes</t>
        </is>
      </c>
      <c r="F8" s="501" t="inlineStr">
        <is>
          <t>Pass</t>
        </is>
      </c>
      <c r="G8" t="inlineStr"/>
    </row>
    <row r="9">
      <c r="A9" t="inlineStr">
        <is>
          <t>Minimum Requirements</t>
        </is>
      </c>
      <c r="B9" t="inlineStr">
        <is>
          <t>Alaska</t>
        </is>
      </c>
      <c r="C9" t="inlineStr">
        <is>
          <t>PD Source</t>
        </is>
      </c>
      <c r="D9" t="inlineStr">
        <is>
          <t>Yes</t>
        </is>
      </c>
      <c r="E9" t="inlineStr">
        <is>
          <t>Yes</t>
        </is>
      </c>
      <c r="F9" s="501" t="inlineStr">
        <is>
          <t>Pass</t>
        </is>
      </c>
      <c r="G9" t="inlineStr"/>
    </row>
    <row r="10">
      <c r="A10" t="inlineStr">
        <is>
          <t>Minimum Requirements</t>
        </is>
      </c>
      <c r="B10" t="inlineStr">
        <is>
          <t>Alaska</t>
        </is>
      </c>
      <c r="C10" t="inlineStr">
        <is>
          <t>PIP Source</t>
        </is>
      </c>
      <c r="D10" t="inlineStr">
        <is>
          <t>Yes</t>
        </is>
      </c>
      <c r="E10" t="inlineStr">
        <is>
          <t>Yes</t>
        </is>
      </c>
      <c r="F10" s="501" t="inlineStr">
        <is>
          <t>Pass</t>
        </is>
      </c>
      <c r="G10" t="inlineStr"/>
    </row>
    <row r="11">
      <c r="A11" t="inlineStr">
        <is>
          <t>Minimum Requirements</t>
        </is>
      </c>
      <c r="B11" t="inlineStr">
        <is>
          <t>Alaska</t>
        </is>
      </c>
      <c r="C11" t="inlineStr">
        <is>
          <t>UM/UIM Source</t>
        </is>
      </c>
      <c r="D11" t="inlineStr">
        <is>
          <t>Yes</t>
        </is>
      </c>
      <c r="E11" t="inlineStr">
        <is>
          <t>Yes</t>
        </is>
      </c>
      <c r="F11" s="501" t="inlineStr">
        <is>
          <t>Pass</t>
        </is>
      </c>
      <c r="G11" t="inlineStr"/>
    </row>
    <row r="12">
      <c r="A12" t="inlineStr">
        <is>
          <t>Minimum Requirements</t>
        </is>
      </c>
      <c r="B12" t="inlineStr">
        <is>
          <t>Alaska</t>
        </is>
      </c>
      <c r="C12" t="inlineStr">
        <is>
          <t>BI SOL Source</t>
        </is>
      </c>
      <c r="D12" t="inlineStr">
        <is>
          <t>Yes</t>
        </is>
      </c>
      <c r="E12" t="inlineStr">
        <is>
          <t>Yes</t>
        </is>
      </c>
      <c r="F12" s="501" t="inlineStr">
        <is>
          <t>Pass</t>
        </is>
      </c>
      <c r="G12" t="inlineStr"/>
    </row>
    <row r="13">
      <c r="A13" t="inlineStr">
        <is>
          <t>Minimum Requirements</t>
        </is>
      </c>
      <c r="B13" t="inlineStr">
        <is>
          <t>Alaska</t>
        </is>
      </c>
      <c r="C13" t="inlineStr">
        <is>
          <t>PD SOL Source</t>
        </is>
      </c>
      <c r="D13" t="inlineStr">
        <is>
          <t>Yes</t>
        </is>
      </c>
      <c r="E13" t="inlineStr">
        <is>
          <t>Yes</t>
        </is>
      </c>
      <c r="F13" s="501" t="inlineStr">
        <is>
          <t>Pass</t>
        </is>
      </c>
      <c r="G13" t="inlineStr"/>
    </row>
    <row r="14">
      <c r="A14" t="inlineStr">
        <is>
          <t>Minimum Requirements</t>
        </is>
      </c>
      <c r="B14" t="inlineStr">
        <is>
          <t>Arizona</t>
        </is>
      </c>
      <c r="C14" t="inlineStr">
        <is>
          <t>BI Source</t>
        </is>
      </c>
      <c r="D14" t="inlineStr">
        <is>
          <t>Yes</t>
        </is>
      </c>
      <c r="E14" t="inlineStr">
        <is>
          <t>Yes</t>
        </is>
      </c>
      <c r="F14" s="501" t="inlineStr">
        <is>
          <t>Pass</t>
        </is>
      </c>
      <c r="G14" t="inlineStr"/>
    </row>
    <row r="15">
      <c r="A15" t="inlineStr">
        <is>
          <t>Minimum Requirements</t>
        </is>
      </c>
      <c r="B15" t="inlineStr">
        <is>
          <t>Arizona</t>
        </is>
      </c>
      <c r="C15" t="inlineStr">
        <is>
          <t>PD Source</t>
        </is>
      </c>
      <c r="D15" t="inlineStr">
        <is>
          <t>Yes</t>
        </is>
      </c>
      <c r="E15" t="inlineStr">
        <is>
          <t>Yes</t>
        </is>
      </c>
      <c r="F15" s="501" t="inlineStr">
        <is>
          <t>Pass</t>
        </is>
      </c>
      <c r="G15" t="inlineStr"/>
    </row>
    <row r="16">
      <c r="A16" t="inlineStr">
        <is>
          <t>Minimum Requirements</t>
        </is>
      </c>
      <c r="B16" t="inlineStr">
        <is>
          <t>Arizona</t>
        </is>
      </c>
      <c r="C16" t="inlineStr">
        <is>
          <t>PIP Source</t>
        </is>
      </c>
      <c r="D16" t="inlineStr">
        <is>
          <t>Yes</t>
        </is>
      </c>
      <c r="E16" t="inlineStr">
        <is>
          <t>Yes</t>
        </is>
      </c>
      <c r="F16" s="501" t="inlineStr">
        <is>
          <t>Pass</t>
        </is>
      </c>
      <c r="G16" t="inlineStr"/>
    </row>
    <row r="17">
      <c r="A17" t="inlineStr">
        <is>
          <t>Minimum Requirements</t>
        </is>
      </c>
      <c r="B17" t="inlineStr">
        <is>
          <t>Arizona</t>
        </is>
      </c>
      <c r="C17" t="inlineStr">
        <is>
          <t>UM/UIM Source</t>
        </is>
      </c>
      <c r="D17" t="inlineStr">
        <is>
          <t>Yes</t>
        </is>
      </c>
      <c r="E17" t="inlineStr">
        <is>
          <t>Yes</t>
        </is>
      </c>
      <c r="F17" s="501" t="inlineStr">
        <is>
          <t>Pass</t>
        </is>
      </c>
      <c r="G17" t="inlineStr"/>
    </row>
    <row r="18">
      <c r="A18" t="inlineStr">
        <is>
          <t>Minimum Requirements</t>
        </is>
      </c>
      <c r="B18" t="inlineStr">
        <is>
          <t>Arizona</t>
        </is>
      </c>
      <c r="C18" t="inlineStr">
        <is>
          <t>BI SOL Source</t>
        </is>
      </c>
      <c r="D18" t="inlineStr">
        <is>
          <t>Yes</t>
        </is>
      </c>
      <c r="E18" t="inlineStr">
        <is>
          <t>Yes</t>
        </is>
      </c>
      <c r="F18" s="501" t="inlineStr">
        <is>
          <t>Pass</t>
        </is>
      </c>
      <c r="G18" t="inlineStr"/>
    </row>
    <row r="19">
      <c r="A19" t="inlineStr">
        <is>
          <t>Minimum Requirements</t>
        </is>
      </c>
      <c r="B19" t="inlineStr">
        <is>
          <t>Arizona</t>
        </is>
      </c>
      <c r="C19" t="inlineStr">
        <is>
          <t>PD SOL Source</t>
        </is>
      </c>
      <c r="D19" t="inlineStr">
        <is>
          <t>Yes</t>
        </is>
      </c>
      <c r="E19" t="inlineStr">
        <is>
          <t>Yes</t>
        </is>
      </c>
      <c r="F19" s="501" t="inlineStr">
        <is>
          <t>Pass</t>
        </is>
      </c>
      <c r="G19" t="inlineStr"/>
    </row>
    <row r="20">
      <c r="A20" t="inlineStr">
        <is>
          <t>Minimum Requirements</t>
        </is>
      </c>
      <c r="B20" t="inlineStr">
        <is>
          <t>Arkansas</t>
        </is>
      </c>
      <c r="C20" t="inlineStr">
        <is>
          <t>BI Source</t>
        </is>
      </c>
      <c r="D20" t="inlineStr">
        <is>
          <t>Yes</t>
        </is>
      </c>
      <c r="E20" t="inlineStr">
        <is>
          <t>Yes</t>
        </is>
      </c>
      <c r="F20" s="501" t="inlineStr">
        <is>
          <t>Pass</t>
        </is>
      </c>
      <c r="G20" t="inlineStr"/>
    </row>
    <row r="21">
      <c r="A21" t="inlineStr">
        <is>
          <t>Minimum Requirements</t>
        </is>
      </c>
      <c r="B21" t="inlineStr">
        <is>
          <t>Arkansas</t>
        </is>
      </c>
      <c r="C21" t="inlineStr">
        <is>
          <t>PD Source</t>
        </is>
      </c>
      <c r="D21" t="inlineStr">
        <is>
          <t>Yes</t>
        </is>
      </c>
      <c r="E21" t="inlineStr">
        <is>
          <t>Yes</t>
        </is>
      </c>
      <c r="F21" s="501" t="inlineStr">
        <is>
          <t>Pass</t>
        </is>
      </c>
      <c r="G21" t="inlineStr"/>
    </row>
    <row r="22">
      <c r="A22" t="inlineStr">
        <is>
          <t>Minimum Requirements</t>
        </is>
      </c>
      <c r="B22" t="inlineStr">
        <is>
          <t>Arkansas</t>
        </is>
      </c>
      <c r="C22" t="inlineStr">
        <is>
          <t>PIP Source</t>
        </is>
      </c>
      <c r="D22" t="inlineStr">
        <is>
          <t>Yes</t>
        </is>
      </c>
      <c r="E22" t="inlineStr">
        <is>
          <t>Yes</t>
        </is>
      </c>
      <c r="F22" s="501" t="inlineStr">
        <is>
          <t>Pass</t>
        </is>
      </c>
      <c r="G22" t="inlineStr"/>
    </row>
    <row r="23">
      <c r="A23" t="inlineStr">
        <is>
          <t>Minimum Requirements</t>
        </is>
      </c>
      <c r="B23" t="inlineStr">
        <is>
          <t>Arkansas</t>
        </is>
      </c>
      <c r="C23" t="inlineStr">
        <is>
          <t>UM/UIM Source</t>
        </is>
      </c>
      <c r="D23" t="inlineStr">
        <is>
          <t>Yes</t>
        </is>
      </c>
      <c r="E23" t="inlineStr">
        <is>
          <t>Yes</t>
        </is>
      </c>
      <c r="F23" s="501" t="inlineStr">
        <is>
          <t>Pass</t>
        </is>
      </c>
      <c r="G23" t="inlineStr"/>
    </row>
    <row r="24">
      <c r="A24" t="inlineStr">
        <is>
          <t>Minimum Requirements</t>
        </is>
      </c>
      <c r="B24" t="inlineStr">
        <is>
          <t>Arkansas</t>
        </is>
      </c>
      <c r="C24" t="inlineStr">
        <is>
          <t>BI SOL Source</t>
        </is>
      </c>
      <c r="D24" t="inlineStr">
        <is>
          <t>Yes</t>
        </is>
      </c>
      <c r="E24" t="inlineStr">
        <is>
          <t>Yes</t>
        </is>
      </c>
      <c r="F24" s="501" t="inlineStr">
        <is>
          <t>Pass</t>
        </is>
      </c>
      <c r="G24" t="inlineStr"/>
    </row>
    <row r="25">
      <c r="A25" t="inlineStr">
        <is>
          <t>Minimum Requirements</t>
        </is>
      </c>
      <c r="B25" t="inlineStr">
        <is>
          <t>Arkansas</t>
        </is>
      </c>
      <c r="C25" t="inlineStr">
        <is>
          <t>PD SOL Source</t>
        </is>
      </c>
      <c r="D25" t="inlineStr">
        <is>
          <t>Yes</t>
        </is>
      </c>
      <c r="E25" t="inlineStr">
        <is>
          <t>Yes</t>
        </is>
      </c>
      <c r="F25" s="501" t="inlineStr">
        <is>
          <t>Pass</t>
        </is>
      </c>
      <c r="G25" t="inlineStr"/>
    </row>
    <row r="26">
      <c r="A26" t="inlineStr">
        <is>
          <t>Minimum Requirements</t>
        </is>
      </c>
      <c r="B26" t="inlineStr">
        <is>
          <t>California</t>
        </is>
      </c>
      <c r="C26" t="inlineStr">
        <is>
          <t>BI Source</t>
        </is>
      </c>
      <c r="D26" t="inlineStr">
        <is>
          <t>Yes</t>
        </is>
      </c>
      <c r="E26" t="inlineStr">
        <is>
          <t>Yes</t>
        </is>
      </c>
      <c r="F26" s="501" t="inlineStr">
        <is>
          <t>Pass</t>
        </is>
      </c>
      <c r="G26" t="inlineStr"/>
    </row>
    <row r="27">
      <c r="A27" t="inlineStr">
        <is>
          <t>Minimum Requirements</t>
        </is>
      </c>
      <c r="B27" t="inlineStr">
        <is>
          <t>California</t>
        </is>
      </c>
      <c r="C27" t="inlineStr">
        <is>
          <t>PD Source</t>
        </is>
      </c>
      <c r="D27" t="inlineStr">
        <is>
          <t>Yes</t>
        </is>
      </c>
      <c r="E27" t="inlineStr">
        <is>
          <t>Yes</t>
        </is>
      </c>
      <c r="F27" s="501" t="inlineStr">
        <is>
          <t>Pass</t>
        </is>
      </c>
      <c r="G27" t="inlineStr"/>
    </row>
    <row r="28">
      <c r="A28" t="inlineStr">
        <is>
          <t>Minimum Requirements</t>
        </is>
      </c>
      <c r="B28" t="inlineStr">
        <is>
          <t>California</t>
        </is>
      </c>
      <c r="C28" t="inlineStr">
        <is>
          <t>PIP Source</t>
        </is>
      </c>
      <c r="D28" t="inlineStr">
        <is>
          <t>Yes</t>
        </is>
      </c>
      <c r="E28" t="inlineStr">
        <is>
          <t>Yes</t>
        </is>
      </c>
      <c r="F28" s="501" t="inlineStr">
        <is>
          <t>Pass</t>
        </is>
      </c>
      <c r="G28" t="inlineStr"/>
    </row>
    <row r="29">
      <c r="A29" t="inlineStr">
        <is>
          <t>Minimum Requirements</t>
        </is>
      </c>
      <c r="B29" t="inlineStr">
        <is>
          <t>California</t>
        </is>
      </c>
      <c r="C29" t="inlineStr">
        <is>
          <t>UM/UIM Source</t>
        </is>
      </c>
      <c r="D29" t="inlineStr">
        <is>
          <t>Yes</t>
        </is>
      </c>
      <c r="E29" t="inlineStr">
        <is>
          <t>Yes</t>
        </is>
      </c>
      <c r="F29" s="501" t="inlineStr">
        <is>
          <t>Pass</t>
        </is>
      </c>
      <c r="G29" t="inlineStr"/>
    </row>
    <row r="30">
      <c r="A30" t="inlineStr">
        <is>
          <t>Minimum Requirements</t>
        </is>
      </c>
      <c r="B30" t="inlineStr">
        <is>
          <t>California</t>
        </is>
      </c>
      <c r="C30" t="inlineStr">
        <is>
          <t>BI SOL Source</t>
        </is>
      </c>
      <c r="D30" t="inlineStr">
        <is>
          <t>Yes</t>
        </is>
      </c>
      <c r="E30" t="inlineStr">
        <is>
          <t>Yes</t>
        </is>
      </c>
      <c r="F30" s="501" t="inlineStr">
        <is>
          <t>Pass</t>
        </is>
      </c>
      <c r="G30" t="inlineStr"/>
    </row>
    <row r="31">
      <c r="A31" t="inlineStr">
        <is>
          <t>Minimum Requirements</t>
        </is>
      </c>
      <c r="B31" t="inlineStr">
        <is>
          <t>California</t>
        </is>
      </c>
      <c r="C31" t="inlineStr">
        <is>
          <t>PD SOL Source</t>
        </is>
      </c>
      <c r="D31" t="inlineStr">
        <is>
          <t>Yes</t>
        </is>
      </c>
      <c r="E31" t="inlineStr">
        <is>
          <t>Yes</t>
        </is>
      </c>
      <c r="F31" s="501" t="inlineStr">
        <is>
          <t>Pass</t>
        </is>
      </c>
      <c r="G31" t="inlineStr"/>
    </row>
    <row r="32">
      <c r="A32" t="inlineStr">
        <is>
          <t>Minimum Requirements</t>
        </is>
      </c>
      <c r="B32" t="inlineStr">
        <is>
          <t>Colorado</t>
        </is>
      </c>
      <c r="C32" t="inlineStr">
        <is>
          <t>BI Source</t>
        </is>
      </c>
      <c r="D32" t="inlineStr">
        <is>
          <t>Yes</t>
        </is>
      </c>
      <c r="E32" t="inlineStr">
        <is>
          <t>Yes</t>
        </is>
      </c>
      <c r="F32" s="501" t="inlineStr">
        <is>
          <t>Pass</t>
        </is>
      </c>
      <c r="G32" t="inlineStr"/>
    </row>
    <row r="33">
      <c r="A33" t="inlineStr">
        <is>
          <t>Minimum Requirements</t>
        </is>
      </c>
      <c r="B33" t="inlineStr">
        <is>
          <t>Colorado</t>
        </is>
      </c>
      <c r="C33" t="inlineStr">
        <is>
          <t>PD Source</t>
        </is>
      </c>
      <c r="D33" t="inlineStr">
        <is>
          <t>Yes</t>
        </is>
      </c>
      <c r="E33" t="inlineStr">
        <is>
          <t>Yes</t>
        </is>
      </c>
      <c r="F33" s="501" t="inlineStr">
        <is>
          <t>Pass</t>
        </is>
      </c>
      <c r="G33" t="inlineStr"/>
    </row>
    <row r="34">
      <c r="A34" t="inlineStr">
        <is>
          <t>Minimum Requirements</t>
        </is>
      </c>
      <c r="B34" t="inlineStr">
        <is>
          <t>Colorado</t>
        </is>
      </c>
      <c r="C34" t="inlineStr">
        <is>
          <t>PIP Source</t>
        </is>
      </c>
      <c r="D34" t="inlineStr">
        <is>
          <t>Yes</t>
        </is>
      </c>
      <c r="E34" t="inlineStr">
        <is>
          <t>Yes</t>
        </is>
      </c>
      <c r="F34" s="501" t="inlineStr">
        <is>
          <t>Pass</t>
        </is>
      </c>
      <c r="G34" t="inlineStr"/>
    </row>
    <row r="35">
      <c r="A35" t="inlineStr">
        <is>
          <t>Minimum Requirements</t>
        </is>
      </c>
      <c r="B35" t="inlineStr">
        <is>
          <t>Colorado</t>
        </is>
      </c>
      <c r="C35" t="inlineStr">
        <is>
          <t>UM/UIM Source</t>
        </is>
      </c>
      <c r="D35" t="inlineStr">
        <is>
          <t>Yes</t>
        </is>
      </c>
      <c r="E35" t="inlineStr">
        <is>
          <t>Yes</t>
        </is>
      </c>
      <c r="F35" s="501" t="inlineStr">
        <is>
          <t>Pass</t>
        </is>
      </c>
      <c r="G35" t="inlineStr"/>
    </row>
    <row r="36">
      <c r="A36" t="inlineStr">
        <is>
          <t>Minimum Requirements</t>
        </is>
      </c>
      <c r="B36" t="inlineStr">
        <is>
          <t>Colorado</t>
        </is>
      </c>
      <c r="C36" t="inlineStr">
        <is>
          <t>BI SOL Source</t>
        </is>
      </c>
      <c r="D36" t="inlineStr">
        <is>
          <t>Yes</t>
        </is>
      </c>
      <c r="E36" t="inlineStr">
        <is>
          <t>Yes</t>
        </is>
      </c>
      <c r="F36" s="501" t="inlineStr">
        <is>
          <t>Pass</t>
        </is>
      </c>
      <c r="G36" t="inlineStr"/>
    </row>
    <row r="37">
      <c r="A37" t="inlineStr">
        <is>
          <t>Minimum Requirements</t>
        </is>
      </c>
      <c r="B37" t="inlineStr">
        <is>
          <t>Colorado</t>
        </is>
      </c>
      <c r="C37" t="inlineStr">
        <is>
          <t>PD SOL Source</t>
        </is>
      </c>
      <c r="D37" t="inlineStr">
        <is>
          <t>Yes</t>
        </is>
      </c>
      <c r="E37" t="inlineStr">
        <is>
          <t>Yes</t>
        </is>
      </c>
      <c r="F37" s="501" t="inlineStr">
        <is>
          <t>Pass</t>
        </is>
      </c>
      <c r="G37" t="inlineStr"/>
    </row>
    <row r="38">
      <c r="A38" t="inlineStr">
        <is>
          <t>Minimum Requirements</t>
        </is>
      </c>
      <c r="B38" t="inlineStr">
        <is>
          <t>Connecticut</t>
        </is>
      </c>
      <c r="C38" t="inlineStr">
        <is>
          <t>BI Source</t>
        </is>
      </c>
      <c r="D38" t="inlineStr">
        <is>
          <t>Yes</t>
        </is>
      </c>
      <c r="E38" t="inlineStr">
        <is>
          <t>Yes</t>
        </is>
      </c>
      <c r="F38" s="501" t="inlineStr">
        <is>
          <t>Pass</t>
        </is>
      </c>
      <c r="G38" t="inlineStr"/>
    </row>
    <row r="39">
      <c r="A39" t="inlineStr">
        <is>
          <t>Minimum Requirements</t>
        </is>
      </c>
      <c r="B39" t="inlineStr">
        <is>
          <t>Connecticut</t>
        </is>
      </c>
      <c r="C39" t="inlineStr">
        <is>
          <t>PD Source</t>
        </is>
      </c>
      <c r="D39" t="inlineStr">
        <is>
          <t>Yes</t>
        </is>
      </c>
      <c r="E39" t="inlineStr">
        <is>
          <t>Yes</t>
        </is>
      </c>
      <c r="F39" s="501" t="inlineStr">
        <is>
          <t>Pass</t>
        </is>
      </c>
      <c r="G39" t="inlineStr"/>
    </row>
    <row r="40">
      <c r="A40" t="inlineStr">
        <is>
          <t>Minimum Requirements</t>
        </is>
      </c>
      <c r="B40" t="inlineStr">
        <is>
          <t>Connecticut</t>
        </is>
      </c>
      <c r="C40" t="inlineStr">
        <is>
          <t>PIP Source</t>
        </is>
      </c>
      <c r="D40" t="inlineStr">
        <is>
          <t>Yes</t>
        </is>
      </c>
      <c r="E40" t="inlineStr">
        <is>
          <t>Yes</t>
        </is>
      </c>
      <c r="F40" s="501" t="inlineStr">
        <is>
          <t>Pass</t>
        </is>
      </c>
      <c r="G40" t="inlineStr"/>
    </row>
    <row r="41">
      <c r="A41" t="inlineStr">
        <is>
          <t>Minimum Requirements</t>
        </is>
      </c>
      <c r="B41" t="inlineStr">
        <is>
          <t>Connecticut</t>
        </is>
      </c>
      <c r="C41" t="inlineStr">
        <is>
          <t>UM/UIM Source</t>
        </is>
      </c>
      <c r="D41" t="inlineStr">
        <is>
          <t>Yes</t>
        </is>
      </c>
      <c r="E41" t="inlineStr">
        <is>
          <t>Yes</t>
        </is>
      </c>
      <c r="F41" s="501" t="inlineStr">
        <is>
          <t>Pass</t>
        </is>
      </c>
      <c r="G41" t="inlineStr"/>
    </row>
    <row r="42">
      <c r="A42" t="inlineStr">
        <is>
          <t>Minimum Requirements</t>
        </is>
      </c>
      <c r="B42" t="inlineStr">
        <is>
          <t>Connecticut</t>
        </is>
      </c>
      <c r="C42" t="inlineStr">
        <is>
          <t>BI SOL Source</t>
        </is>
      </c>
      <c r="D42" t="inlineStr">
        <is>
          <t>Yes</t>
        </is>
      </c>
      <c r="E42" t="inlineStr">
        <is>
          <t>Yes</t>
        </is>
      </c>
      <c r="F42" s="501" t="inlineStr">
        <is>
          <t>Pass</t>
        </is>
      </c>
      <c r="G42" t="inlineStr"/>
    </row>
    <row r="43">
      <c r="A43" t="inlineStr">
        <is>
          <t>Minimum Requirements</t>
        </is>
      </c>
      <c r="B43" t="inlineStr">
        <is>
          <t>Connecticut</t>
        </is>
      </c>
      <c r="C43" t="inlineStr">
        <is>
          <t>PD SOL Source</t>
        </is>
      </c>
      <c r="D43" t="inlineStr">
        <is>
          <t>Yes</t>
        </is>
      </c>
      <c r="E43" t="inlineStr">
        <is>
          <t>Yes</t>
        </is>
      </c>
      <c r="F43" s="501" t="inlineStr">
        <is>
          <t>Pass</t>
        </is>
      </c>
      <c r="G43" t="inlineStr"/>
    </row>
    <row r="44">
      <c r="A44" t="inlineStr">
        <is>
          <t>Minimum Requirements</t>
        </is>
      </c>
      <c r="B44" t="inlineStr">
        <is>
          <t>Delaware</t>
        </is>
      </c>
      <c r="C44" t="inlineStr">
        <is>
          <t>BI Source</t>
        </is>
      </c>
      <c r="D44" t="inlineStr">
        <is>
          <t>Yes</t>
        </is>
      </c>
      <c r="E44" t="inlineStr">
        <is>
          <t>Yes</t>
        </is>
      </c>
      <c r="F44" s="501" t="inlineStr">
        <is>
          <t>Pass</t>
        </is>
      </c>
      <c r="G44" t="inlineStr"/>
    </row>
    <row r="45">
      <c r="A45" t="inlineStr">
        <is>
          <t>Minimum Requirements</t>
        </is>
      </c>
      <c r="B45" t="inlineStr">
        <is>
          <t>Delaware</t>
        </is>
      </c>
      <c r="C45" t="inlineStr">
        <is>
          <t>PD Source</t>
        </is>
      </c>
      <c r="D45" t="inlineStr">
        <is>
          <t>Yes</t>
        </is>
      </c>
      <c r="E45" t="inlineStr">
        <is>
          <t>Yes</t>
        </is>
      </c>
      <c r="F45" s="501" t="inlineStr">
        <is>
          <t>Pass</t>
        </is>
      </c>
      <c r="G45" t="inlineStr"/>
    </row>
    <row r="46">
      <c r="A46" t="inlineStr">
        <is>
          <t>Minimum Requirements</t>
        </is>
      </c>
      <c r="B46" t="inlineStr">
        <is>
          <t>Delaware</t>
        </is>
      </c>
      <c r="C46" t="inlineStr">
        <is>
          <t>PIP Source</t>
        </is>
      </c>
      <c r="D46" t="inlineStr">
        <is>
          <t>Yes</t>
        </is>
      </c>
      <c r="E46" t="inlineStr">
        <is>
          <t>Yes</t>
        </is>
      </c>
      <c r="F46" s="501" t="inlineStr">
        <is>
          <t>Pass</t>
        </is>
      </c>
      <c r="G46" t="inlineStr"/>
    </row>
    <row r="47">
      <c r="A47" t="inlineStr">
        <is>
          <t>Minimum Requirements</t>
        </is>
      </c>
      <c r="B47" t="inlineStr">
        <is>
          <t>Delaware</t>
        </is>
      </c>
      <c r="C47" t="inlineStr">
        <is>
          <t>UM/UIM Source</t>
        </is>
      </c>
      <c r="D47" t="inlineStr">
        <is>
          <t>Yes</t>
        </is>
      </c>
      <c r="E47" t="inlineStr">
        <is>
          <t>Yes</t>
        </is>
      </c>
      <c r="F47" s="501" t="inlineStr">
        <is>
          <t>Pass</t>
        </is>
      </c>
      <c r="G47" t="inlineStr"/>
    </row>
    <row r="48">
      <c r="A48" t="inlineStr">
        <is>
          <t>Minimum Requirements</t>
        </is>
      </c>
      <c r="B48" t="inlineStr">
        <is>
          <t>Delaware</t>
        </is>
      </c>
      <c r="C48" t="inlineStr">
        <is>
          <t>BI SOL Source</t>
        </is>
      </c>
      <c r="D48" t="inlineStr">
        <is>
          <t>Yes</t>
        </is>
      </c>
      <c r="E48" t="inlineStr">
        <is>
          <t>Yes</t>
        </is>
      </c>
      <c r="F48" s="501" t="inlineStr">
        <is>
          <t>Pass</t>
        </is>
      </c>
      <c r="G48" t="inlineStr"/>
    </row>
    <row r="49">
      <c r="A49" t="inlineStr">
        <is>
          <t>Minimum Requirements</t>
        </is>
      </c>
      <c r="B49" t="inlineStr">
        <is>
          <t>Delaware</t>
        </is>
      </c>
      <c r="C49" t="inlineStr">
        <is>
          <t>PD SOL Source</t>
        </is>
      </c>
      <c r="D49" t="inlineStr">
        <is>
          <t>Yes</t>
        </is>
      </c>
      <c r="E49" t="inlineStr">
        <is>
          <t>Yes</t>
        </is>
      </c>
      <c r="F49" s="501" t="inlineStr">
        <is>
          <t>Pass</t>
        </is>
      </c>
      <c r="G49" t="inlineStr"/>
    </row>
    <row r="50">
      <c r="A50" t="inlineStr">
        <is>
          <t>Minimum Requirements</t>
        </is>
      </c>
      <c r="B50" t="inlineStr">
        <is>
          <t>Florida</t>
        </is>
      </c>
      <c r="C50" t="inlineStr">
        <is>
          <t>BI Source</t>
        </is>
      </c>
      <c r="D50" t="inlineStr">
        <is>
          <t>Yes</t>
        </is>
      </c>
      <c r="E50" t="inlineStr">
        <is>
          <t>Yes</t>
        </is>
      </c>
      <c r="F50" s="501" t="inlineStr">
        <is>
          <t>Pass</t>
        </is>
      </c>
      <c r="G50" t="inlineStr"/>
    </row>
    <row r="51">
      <c r="A51" t="inlineStr">
        <is>
          <t>Minimum Requirements</t>
        </is>
      </c>
      <c r="B51" t="inlineStr">
        <is>
          <t>Florida</t>
        </is>
      </c>
      <c r="C51" t="inlineStr">
        <is>
          <t>PD Source</t>
        </is>
      </c>
      <c r="D51" t="inlineStr">
        <is>
          <t>Yes</t>
        </is>
      </c>
      <c r="E51" t="inlineStr">
        <is>
          <t>Yes</t>
        </is>
      </c>
      <c r="F51" s="501" t="inlineStr">
        <is>
          <t>Pass</t>
        </is>
      </c>
      <c r="G51" t="inlineStr"/>
    </row>
    <row r="52">
      <c r="A52" t="inlineStr">
        <is>
          <t>Minimum Requirements</t>
        </is>
      </c>
      <c r="B52" t="inlineStr">
        <is>
          <t>Florida</t>
        </is>
      </c>
      <c r="C52" t="inlineStr">
        <is>
          <t>PIP Source</t>
        </is>
      </c>
      <c r="D52" t="inlineStr">
        <is>
          <t>Yes</t>
        </is>
      </c>
      <c r="E52" t="inlineStr">
        <is>
          <t>Yes</t>
        </is>
      </c>
      <c r="F52" s="501" t="inlineStr">
        <is>
          <t>Pass</t>
        </is>
      </c>
      <c r="G52" t="inlineStr"/>
    </row>
    <row r="53">
      <c r="A53" t="inlineStr">
        <is>
          <t>Minimum Requirements</t>
        </is>
      </c>
      <c r="B53" t="inlineStr">
        <is>
          <t>Florida</t>
        </is>
      </c>
      <c r="C53" t="inlineStr">
        <is>
          <t>UM/UIM Source</t>
        </is>
      </c>
      <c r="D53" t="inlineStr">
        <is>
          <t>Yes</t>
        </is>
      </c>
      <c r="E53" t="inlineStr">
        <is>
          <t>Yes</t>
        </is>
      </c>
      <c r="F53" s="501" t="inlineStr">
        <is>
          <t>Pass</t>
        </is>
      </c>
      <c r="G53" t="inlineStr"/>
    </row>
    <row r="54">
      <c r="A54" t="inlineStr">
        <is>
          <t>Minimum Requirements</t>
        </is>
      </c>
      <c r="B54" t="inlineStr">
        <is>
          <t>Florida</t>
        </is>
      </c>
      <c r="C54" t="inlineStr">
        <is>
          <t>BI SOL Source</t>
        </is>
      </c>
      <c r="D54" t="inlineStr">
        <is>
          <t>Yes</t>
        </is>
      </c>
      <c r="E54" t="inlineStr">
        <is>
          <t>Yes</t>
        </is>
      </c>
      <c r="F54" s="501" t="inlineStr">
        <is>
          <t>Pass</t>
        </is>
      </c>
      <c r="G54" t="inlineStr"/>
    </row>
    <row r="55">
      <c r="A55" t="inlineStr">
        <is>
          <t>Minimum Requirements</t>
        </is>
      </c>
      <c r="B55" t="inlineStr">
        <is>
          <t>Florida</t>
        </is>
      </c>
      <c r="C55" t="inlineStr">
        <is>
          <t>PD SOL Source</t>
        </is>
      </c>
      <c r="D55" t="inlineStr">
        <is>
          <t>Yes</t>
        </is>
      </c>
      <c r="E55" t="inlineStr">
        <is>
          <t>Yes</t>
        </is>
      </c>
      <c r="F55" s="501" t="inlineStr">
        <is>
          <t>Pass</t>
        </is>
      </c>
      <c r="G55" t="inlineStr"/>
    </row>
    <row r="56">
      <c r="A56" t="inlineStr">
        <is>
          <t>Minimum Requirements</t>
        </is>
      </c>
      <c r="B56" t="inlineStr">
        <is>
          <t>Georgia</t>
        </is>
      </c>
      <c r="C56" t="inlineStr">
        <is>
          <t>BI Source</t>
        </is>
      </c>
      <c r="D56" t="inlineStr">
        <is>
          <t>Yes</t>
        </is>
      </c>
      <c r="E56" t="inlineStr">
        <is>
          <t>Yes</t>
        </is>
      </c>
      <c r="F56" s="501" t="inlineStr">
        <is>
          <t>Pass</t>
        </is>
      </c>
      <c r="G56" t="inlineStr"/>
    </row>
    <row r="57">
      <c r="A57" t="inlineStr">
        <is>
          <t>Minimum Requirements</t>
        </is>
      </c>
      <c r="B57" t="inlineStr">
        <is>
          <t>Georgia</t>
        </is>
      </c>
      <c r="C57" t="inlineStr">
        <is>
          <t>PD Source</t>
        </is>
      </c>
      <c r="D57" t="inlineStr">
        <is>
          <t>Yes</t>
        </is>
      </c>
      <c r="E57" t="inlineStr">
        <is>
          <t>Yes</t>
        </is>
      </c>
      <c r="F57" s="501" t="inlineStr">
        <is>
          <t>Pass</t>
        </is>
      </c>
      <c r="G57" t="inlineStr"/>
    </row>
    <row r="58">
      <c r="A58" t="inlineStr">
        <is>
          <t>Minimum Requirements</t>
        </is>
      </c>
      <c r="B58" t="inlineStr">
        <is>
          <t>Georgia</t>
        </is>
      </c>
      <c r="C58" t="inlineStr">
        <is>
          <t>PIP Source</t>
        </is>
      </c>
      <c r="D58" t="inlineStr">
        <is>
          <t>Yes</t>
        </is>
      </c>
      <c r="E58" t="inlineStr">
        <is>
          <t>Yes</t>
        </is>
      </c>
      <c r="F58" s="501" t="inlineStr">
        <is>
          <t>Pass</t>
        </is>
      </c>
      <c r="G58" t="inlineStr"/>
    </row>
    <row r="59">
      <c r="A59" t="inlineStr">
        <is>
          <t>Minimum Requirements</t>
        </is>
      </c>
      <c r="B59" t="inlineStr">
        <is>
          <t>Georgia</t>
        </is>
      </c>
      <c r="C59" t="inlineStr">
        <is>
          <t>UM/UIM Source</t>
        </is>
      </c>
      <c r="D59" t="inlineStr">
        <is>
          <t>Yes</t>
        </is>
      </c>
      <c r="E59" t="inlineStr">
        <is>
          <t>Yes</t>
        </is>
      </c>
      <c r="F59" s="501" t="inlineStr">
        <is>
          <t>Pass</t>
        </is>
      </c>
      <c r="G59" t="inlineStr"/>
    </row>
    <row r="60">
      <c r="A60" t="inlineStr">
        <is>
          <t>Minimum Requirements</t>
        </is>
      </c>
      <c r="B60" t="inlineStr">
        <is>
          <t>Georgia</t>
        </is>
      </c>
      <c r="C60" t="inlineStr">
        <is>
          <t>BI SOL Source</t>
        </is>
      </c>
      <c r="D60" t="inlineStr">
        <is>
          <t>Yes</t>
        </is>
      </c>
      <c r="E60" t="inlineStr">
        <is>
          <t>Yes</t>
        </is>
      </c>
      <c r="F60" s="501" t="inlineStr">
        <is>
          <t>Pass</t>
        </is>
      </c>
      <c r="G60" t="inlineStr"/>
    </row>
    <row r="61">
      <c r="A61" t="inlineStr">
        <is>
          <t>Minimum Requirements</t>
        </is>
      </c>
      <c r="B61" t="inlineStr">
        <is>
          <t>Georgia</t>
        </is>
      </c>
      <c r="C61" t="inlineStr">
        <is>
          <t>PD SOL Source</t>
        </is>
      </c>
      <c r="D61" t="inlineStr">
        <is>
          <t>Yes</t>
        </is>
      </c>
      <c r="E61" t="inlineStr">
        <is>
          <t>Yes</t>
        </is>
      </c>
      <c r="F61" s="501" t="inlineStr">
        <is>
          <t>Pass</t>
        </is>
      </c>
      <c r="G61" t="inlineStr"/>
    </row>
    <row r="62">
      <c r="A62" t="inlineStr">
        <is>
          <t>Minimum Requirements</t>
        </is>
      </c>
      <c r="B62" t="inlineStr">
        <is>
          <t>Hawaii</t>
        </is>
      </c>
      <c r="C62" t="inlineStr">
        <is>
          <t>BI Source</t>
        </is>
      </c>
      <c r="D62" t="inlineStr">
        <is>
          <t>Yes</t>
        </is>
      </c>
      <c r="E62" t="inlineStr">
        <is>
          <t>Yes</t>
        </is>
      </c>
      <c r="F62" s="501" t="inlineStr">
        <is>
          <t>Pass</t>
        </is>
      </c>
      <c r="G62" t="inlineStr"/>
    </row>
    <row r="63">
      <c r="A63" t="inlineStr">
        <is>
          <t>Minimum Requirements</t>
        </is>
      </c>
      <c r="B63" t="inlineStr">
        <is>
          <t>Hawaii</t>
        </is>
      </c>
      <c r="C63" t="inlineStr">
        <is>
          <t>PD Source</t>
        </is>
      </c>
      <c r="D63" t="inlineStr">
        <is>
          <t>Yes</t>
        </is>
      </c>
      <c r="E63" t="inlineStr">
        <is>
          <t>Yes</t>
        </is>
      </c>
      <c r="F63" s="501" t="inlineStr">
        <is>
          <t>Pass</t>
        </is>
      </c>
      <c r="G63" t="inlineStr"/>
    </row>
    <row r="64">
      <c r="A64" t="inlineStr">
        <is>
          <t>Minimum Requirements</t>
        </is>
      </c>
      <c r="B64" t="inlineStr">
        <is>
          <t>Hawaii</t>
        </is>
      </c>
      <c r="C64" t="inlineStr">
        <is>
          <t>PIP Source</t>
        </is>
      </c>
      <c r="D64" t="inlineStr">
        <is>
          <t>Yes</t>
        </is>
      </c>
      <c r="E64" t="inlineStr">
        <is>
          <t>Yes</t>
        </is>
      </c>
      <c r="F64" s="501" t="inlineStr">
        <is>
          <t>Pass</t>
        </is>
      </c>
      <c r="G64" t="inlineStr"/>
    </row>
    <row r="65">
      <c r="A65" t="inlineStr">
        <is>
          <t>Minimum Requirements</t>
        </is>
      </c>
      <c r="B65" t="inlineStr">
        <is>
          <t>Hawaii</t>
        </is>
      </c>
      <c r="C65" t="inlineStr">
        <is>
          <t>UM/UIM Source</t>
        </is>
      </c>
      <c r="D65" t="inlineStr">
        <is>
          <t>Yes</t>
        </is>
      </c>
      <c r="E65" t="inlineStr">
        <is>
          <t>Yes</t>
        </is>
      </c>
      <c r="F65" s="501" t="inlineStr">
        <is>
          <t>Pass</t>
        </is>
      </c>
      <c r="G65" t="inlineStr"/>
    </row>
    <row r="66">
      <c r="A66" t="inlineStr">
        <is>
          <t>Minimum Requirements</t>
        </is>
      </c>
      <c r="B66" t="inlineStr">
        <is>
          <t>Hawaii</t>
        </is>
      </c>
      <c r="C66" t="inlineStr">
        <is>
          <t>BI SOL Source</t>
        </is>
      </c>
      <c r="D66" t="inlineStr">
        <is>
          <t>Yes</t>
        </is>
      </c>
      <c r="E66" t="inlineStr">
        <is>
          <t>Yes</t>
        </is>
      </c>
      <c r="F66" s="501" t="inlineStr">
        <is>
          <t>Pass</t>
        </is>
      </c>
      <c r="G66" t="inlineStr"/>
    </row>
    <row r="67">
      <c r="A67" t="inlineStr">
        <is>
          <t>Minimum Requirements</t>
        </is>
      </c>
      <c r="B67" t="inlineStr">
        <is>
          <t>Hawaii</t>
        </is>
      </c>
      <c r="C67" t="inlineStr">
        <is>
          <t>PD SOL Source</t>
        </is>
      </c>
      <c r="D67" t="inlineStr">
        <is>
          <t>Yes</t>
        </is>
      </c>
      <c r="E67" t="inlineStr">
        <is>
          <t>Yes</t>
        </is>
      </c>
      <c r="F67" s="501" t="inlineStr">
        <is>
          <t>Pass</t>
        </is>
      </c>
      <c r="G67" t="inlineStr"/>
    </row>
    <row r="68">
      <c r="A68" t="inlineStr">
        <is>
          <t>Minimum Requirements</t>
        </is>
      </c>
      <c r="B68" t="inlineStr">
        <is>
          <t>Idaho</t>
        </is>
      </c>
      <c r="C68" t="inlineStr">
        <is>
          <t>BI Source</t>
        </is>
      </c>
      <c r="D68" t="inlineStr">
        <is>
          <t>Yes</t>
        </is>
      </c>
      <c r="E68" t="inlineStr">
        <is>
          <t>Yes</t>
        </is>
      </c>
      <c r="F68" s="501" t="inlineStr">
        <is>
          <t>Pass</t>
        </is>
      </c>
      <c r="G68" t="inlineStr"/>
    </row>
    <row r="69">
      <c r="A69" t="inlineStr">
        <is>
          <t>Minimum Requirements</t>
        </is>
      </c>
      <c r="B69" t="inlineStr">
        <is>
          <t>Idaho</t>
        </is>
      </c>
      <c r="C69" t="inlineStr">
        <is>
          <t>PD Source</t>
        </is>
      </c>
      <c r="D69" t="inlineStr">
        <is>
          <t>Yes</t>
        </is>
      </c>
      <c r="E69" t="inlineStr">
        <is>
          <t>Yes</t>
        </is>
      </c>
      <c r="F69" s="501" t="inlineStr">
        <is>
          <t>Pass</t>
        </is>
      </c>
      <c r="G69" t="inlineStr"/>
    </row>
    <row r="70">
      <c r="A70" t="inlineStr">
        <is>
          <t>Minimum Requirements</t>
        </is>
      </c>
      <c r="B70" t="inlineStr">
        <is>
          <t>Idaho</t>
        </is>
      </c>
      <c r="C70" t="inlineStr">
        <is>
          <t>PIP Source</t>
        </is>
      </c>
      <c r="D70" t="inlineStr">
        <is>
          <t>Yes</t>
        </is>
      </c>
      <c r="E70" t="inlineStr">
        <is>
          <t>Yes</t>
        </is>
      </c>
      <c r="F70" s="501" t="inlineStr">
        <is>
          <t>Pass</t>
        </is>
      </c>
      <c r="G70" t="inlineStr"/>
    </row>
    <row r="71">
      <c r="A71" t="inlineStr">
        <is>
          <t>Minimum Requirements</t>
        </is>
      </c>
      <c r="B71" t="inlineStr">
        <is>
          <t>Idaho</t>
        </is>
      </c>
      <c r="C71" t="inlineStr">
        <is>
          <t>UM/UIM Source</t>
        </is>
      </c>
      <c r="D71" t="inlineStr">
        <is>
          <t>Yes</t>
        </is>
      </c>
      <c r="E71" t="inlineStr">
        <is>
          <t>Yes</t>
        </is>
      </c>
      <c r="F71" s="501" t="inlineStr">
        <is>
          <t>Pass</t>
        </is>
      </c>
      <c r="G71" t="inlineStr"/>
    </row>
    <row r="72">
      <c r="A72" t="inlineStr">
        <is>
          <t>Minimum Requirements</t>
        </is>
      </c>
      <c r="B72" t="inlineStr">
        <is>
          <t>Idaho</t>
        </is>
      </c>
      <c r="C72" t="inlineStr">
        <is>
          <t>BI SOL Source</t>
        </is>
      </c>
      <c r="D72" t="inlineStr">
        <is>
          <t>Yes</t>
        </is>
      </c>
      <c r="E72" t="inlineStr">
        <is>
          <t>Yes</t>
        </is>
      </c>
      <c r="F72" s="501" t="inlineStr">
        <is>
          <t>Pass</t>
        </is>
      </c>
      <c r="G72" t="inlineStr"/>
    </row>
    <row r="73">
      <c r="A73" t="inlineStr">
        <is>
          <t>Minimum Requirements</t>
        </is>
      </c>
      <c r="B73" t="inlineStr">
        <is>
          <t>Idaho</t>
        </is>
      </c>
      <c r="C73" t="inlineStr">
        <is>
          <t>PD SOL Source</t>
        </is>
      </c>
      <c r="D73" t="inlineStr">
        <is>
          <t>Yes</t>
        </is>
      </c>
      <c r="E73" t="inlineStr">
        <is>
          <t>Yes</t>
        </is>
      </c>
      <c r="F73" s="501" t="inlineStr">
        <is>
          <t>Pass</t>
        </is>
      </c>
      <c r="G73" t="inlineStr"/>
    </row>
    <row r="74">
      <c r="A74" t="inlineStr">
        <is>
          <t>Minimum Requirements</t>
        </is>
      </c>
      <c r="B74" t="inlineStr">
        <is>
          <t>Illinois</t>
        </is>
      </c>
      <c r="C74" t="inlineStr">
        <is>
          <t>BI Source</t>
        </is>
      </c>
      <c r="D74" t="inlineStr">
        <is>
          <t>Yes</t>
        </is>
      </c>
      <c r="E74" t="inlineStr">
        <is>
          <t>Yes</t>
        </is>
      </c>
      <c r="F74" s="501" t="inlineStr">
        <is>
          <t>Pass</t>
        </is>
      </c>
      <c r="G74" t="inlineStr"/>
    </row>
    <row r="75">
      <c r="A75" t="inlineStr">
        <is>
          <t>Minimum Requirements</t>
        </is>
      </c>
      <c r="B75" t="inlineStr">
        <is>
          <t>Illinois</t>
        </is>
      </c>
      <c r="C75" t="inlineStr">
        <is>
          <t>PD Source</t>
        </is>
      </c>
      <c r="D75" t="inlineStr">
        <is>
          <t>Yes</t>
        </is>
      </c>
      <c r="E75" t="inlineStr">
        <is>
          <t>Yes</t>
        </is>
      </c>
      <c r="F75" s="501" t="inlineStr">
        <is>
          <t>Pass</t>
        </is>
      </c>
      <c r="G75" t="inlineStr"/>
    </row>
    <row r="76">
      <c r="A76" t="inlineStr">
        <is>
          <t>Minimum Requirements</t>
        </is>
      </c>
      <c r="B76" t="inlineStr">
        <is>
          <t>Illinois</t>
        </is>
      </c>
      <c r="C76" t="inlineStr">
        <is>
          <t>PIP Source</t>
        </is>
      </c>
      <c r="D76" t="inlineStr">
        <is>
          <t>Yes</t>
        </is>
      </c>
      <c r="E76" t="inlineStr">
        <is>
          <t>Yes</t>
        </is>
      </c>
      <c r="F76" s="501" t="inlineStr">
        <is>
          <t>Pass</t>
        </is>
      </c>
      <c r="G76" t="inlineStr"/>
    </row>
    <row r="77">
      <c r="A77" t="inlineStr">
        <is>
          <t>Minimum Requirements</t>
        </is>
      </c>
      <c r="B77" t="inlineStr">
        <is>
          <t>Illinois</t>
        </is>
      </c>
      <c r="C77" t="inlineStr">
        <is>
          <t>UM/UIM Source</t>
        </is>
      </c>
      <c r="D77" t="inlineStr">
        <is>
          <t>Yes</t>
        </is>
      </c>
      <c r="E77" t="inlineStr">
        <is>
          <t>Yes</t>
        </is>
      </c>
      <c r="F77" s="501" t="inlineStr">
        <is>
          <t>Pass</t>
        </is>
      </c>
      <c r="G77" t="inlineStr"/>
    </row>
    <row r="78">
      <c r="A78" t="inlineStr">
        <is>
          <t>Minimum Requirements</t>
        </is>
      </c>
      <c r="B78" t="inlineStr">
        <is>
          <t>Illinois</t>
        </is>
      </c>
      <c r="C78" t="inlineStr">
        <is>
          <t>BI SOL Source</t>
        </is>
      </c>
      <c r="D78" t="inlineStr">
        <is>
          <t>Yes</t>
        </is>
      </c>
      <c r="E78" t="inlineStr">
        <is>
          <t>Yes</t>
        </is>
      </c>
      <c r="F78" s="501" t="inlineStr">
        <is>
          <t>Pass</t>
        </is>
      </c>
      <c r="G78" t="inlineStr"/>
    </row>
    <row r="79">
      <c r="A79" t="inlineStr">
        <is>
          <t>Minimum Requirements</t>
        </is>
      </c>
      <c r="B79" t="inlineStr">
        <is>
          <t>Illinois</t>
        </is>
      </c>
      <c r="C79" t="inlineStr">
        <is>
          <t>PD SOL Source</t>
        </is>
      </c>
      <c r="D79" t="inlineStr">
        <is>
          <t>Yes</t>
        </is>
      </c>
      <c r="E79" t="inlineStr">
        <is>
          <t>Yes</t>
        </is>
      </c>
      <c r="F79" s="501" t="inlineStr">
        <is>
          <t>Pass</t>
        </is>
      </c>
      <c r="G79" t="inlineStr"/>
    </row>
    <row r="80">
      <c r="A80" t="inlineStr">
        <is>
          <t>Minimum Requirements</t>
        </is>
      </c>
      <c r="B80" t="inlineStr">
        <is>
          <t>Indiana</t>
        </is>
      </c>
      <c r="C80" t="inlineStr">
        <is>
          <t>BI Source</t>
        </is>
      </c>
      <c r="D80" t="inlineStr">
        <is>
          <t>Yes</t>
        </is>
      </c>
      <c r="E80" t="inlineStr">
        <is>
          <t>Yes</t>
        </is>
      </c>
      <c r="F80" s="501" t="inlineStr">
        <is>
          <t>Pass</t>
        </is>
      </c>
      <c r="G80" t="inlineStr"/>
    </row>
    <row r="81">
      <c r="A81" t="inlineStr">
        <is>
          <t>Minimum Requirements</t>
        </is>
      </c>
      <c r="B81" t="inlineStr">
        <is>
          <t>Indiana</t>
        </is>
      </c>
      <c r="C81" t="inlineStr">
        <is>
          <t>PD Source</t>
        </is>
      </c>
      <c r="D81" t="inlineStr">
        <is>
          <t>Yes</t>
        </is>
      </c>
      <c r="E81" t="inlineStr">
        <is>
          <t>Yes</t>
        </is>
      </c>
      <c r="F81" s="501" t="inlineStr">
        <is>
          <t>Pass</t>
        </is>
      </c>
      <c r="G81" t="inlineStr"/>
    </row>
    <row r="82">
      <c r="A82" t="inlineStr">
        <is>
          <t>Minimum Requirements</t>
        </is>
      </c>
      <c r="B82" t="inlineStr">
        <is>
          <t>Indiana</t>
        </is>
      </c>
      <c r="C82" t="inlineStr">
        <is>
          <t>PIP Source</t>
        </is>
      </c>
      <c r="D82" t="inlineStr">
        <is>
          <t>Yes</t>
        </is>
      </c>
      <c r="E82" t="inlineStr">
        <is>
          <t>Yes</t>
        </is>
      </c>
      <c r="F82" s="501" t="inlineStr">
        <is>
          <t>Pass</t>
        </is>
      </c>
      <c r="G82" t="inlineStr"/>
    </row>
    <row r="83">
      <c r="A83" t="inlineStr">
        <is>
          <t>Minimum Requirements</t>
        </is>
      </c>
      <c r="B83" t="inlineStr">
        <is>
          <t>Indiana</t>
        </is>
      </c>
      <c r="C83" t="inlineStr">
        <is>
          <t>UM/UIM Source</t>
        </is>
      </c>
      <c r="D83" t="inlineStr">
        <is>
          <t>Yes</t>
        </is>
      </c>
      <c r="E83" t="inlineStr">
        <is>
          <t>Yes</t>
        </is>
      </c>
      <c r="F83" s="501" t="inlineStr">
        <is>
          <t>Pass</t>
        </is>
      </c>
      <c r="G83" t="inlineStr"/>
    </row>
    <row r="84">
      <c r="A84" t="inlineStr">
        <is>
          <t>Minimum Requirements</t>
        </is>
      </c>
      <c r="B84" t="inlineStr">
        <is>
          <t>Indiana</t>
        </is>
      </c>
      <c r="C84" t="inlineStr">
        <is>
          <t>BI SOL Source</t>
        </is>
      </c>
      <c r="D84" t="inlineStr">
        <is>
          <t>Yes</t>
        </is>
      </c>
      <c r="E84" t="inlineStr">
        <is>
          <t>Yes</t>
        </is>
      </c>
      <c r="F84" s="501" t="inlineStr">
        <is>
          <t>Pass</t>
        </is>
      </c>
      <c r="G84" t="inlineStr"/>
    </row>
    <row r="85">
      <c r="A85" t="inlineStr">
        <is>
          <t>Minimum Requirements</t>
        </is>
      </c>
      <c r="B85" t="inlineStr">
        <is>
          <t>Indiana</t>
        </is>
      </c>
      <c r="C85" t="inlineStr">
        <is>
          <t>PD SOL Source</t>
        </is>
      </c>
      <c r="D85" t="inlineStr">
        <is>
          <t>Yes</t>
        </is>
      </c>
      <c r="E85" t="inlineStr">
        <is>
          <t>Yes</t>
        </is>
      </c>
      <c r="F85" s="501" t="inlineStr">
        <is>
          <t>Pass</t>
        </is>
      </c>
      <c r="G85" t="inlineStr"/>
    </row>
    <row r="86">
      <c r="A86" t="inlineStr">
        <is>
          <t>Minimum Requirements</t>
        </is>
      </c>
      <c r="B86" t="inlineStr">
        <is>
          <t>Iowa</t>
        </is>
      </c>
      <c r="C86" t="inlineStr">
        <is>
          <t>BI Source</t>
        </is>
      </c>
      <c r="D86" t="inlineStr">
        <is>
          <t>Yes</t>
        </is>
      </c>
      <c r="E86" t="inlineStr">
        <is>
          <t>Yes</t>
        </is>
      </c>
      <c r="F86" s="501" t="inlineStr">
        <is>
          <t>Pass</t>
        </is>
      </c>
      <c r="G86" t="inlineStr"/>
    </row>
    <row r="87">
      <c r="A87" t="inlineStr">
        <is>
          <t>Minimum Requirements</t>
        </is>
      </c>
      <c r="B87" t="inlineStr">
        <is>
          <t>Iowa</t>
        </is>
      </c>
      <c r="C87" t="inlineStr">
        <is>
          <t>PD Source</t>
        </is>
      </c>
      <c r="D87" t="inlineStr">
        <is>
          <t>Yes</t>
        </is>
      </c>
      <c r="E87" t="inlineStr">
        <is>
          <t>Yes</t>
        </is>
      </c>
      <c r="F87" s="501" t="inlineStr">
        <is>
          <t>Pass</t>
        </is>
      </c>
      <c r="G87" t="inlineStr"/>
    </row>
    <row r="88">
      <c r="A88" t="inlineStr">
        <is>
          <t>Minimum Requirements</t>
        </is>
      </c>
      <c r="B88" t="inlineStr">
        <is>
          <t>Iowa</t>
        </is>
      </c>
      <c r="C88" t="inlineStr">
        <is>
          <t>PIP Source</t>
        </is>
      </c>
      <c r="D88" t="inlineStr">
        <is>
          <t>Yes</t>
        </is>
      </c>
      <c r="E88" t="inlineStr">
        <is>
          <t>Yes</t>
        </is>
      </c>
      <c r="F88" s="501" t="inlineStr">
        <is>
          <t>Pass</t>
        </is>
      </c>
      <c r="G88" t="inlineStr"/>
    </row>
    <row r="89">
      <c r="A89" t="inlineStr">
        <is>
          <t>Minimum Requirements</t>
        </is>
      </c>
      <c r="B89" t="inlineStr">
        <is>
          <t>Iowa</t>
        </is>
      </c>
      <c r="C89" t="inlineStr">
        <is>
          <t>UM/UIM Source</t>
        </is>
      </c>
      <c r="D89" t="inlineStr">
        <is>
          <t>Yes</t>
        </is>
      </c>
      <c r="E89" t="inlineStr">
        <is>
          <t>Yes</t>
        </is>
      </c>
      <c r="F89" s="501" t="inlineStr">
        <is>
          <t>Pass</t>
        </is>
      </c>
      <c r="G89" t="inlineStr"/>
    </row>
    <row r="90">
      <c r="A90" t="inlineStr">
        <is>
          <t>Minimum Requirements</t>
        </is>
      </c>
      <c r="B90" t="inlineStr">
        <is>
          <t>Iowa</t>
        </is>
      </c>
      <c r="C90" t="inlineStr">
        <is>
          <t>BI SOL Source</t>
        </is>
      </c>
      <c r="D90" t="inlineStr">
        <is>
          <t>Yes</t>
        </is>
      </c>
      <c r="E90" t="inlineStr">
        <is>
          <t>Yes</t>
        </is>
      </c>
      <c r="F90" s="501" t="inlineStr">
        <is>
          <t>Pass</t>
        </is>
      </c>
      <c r="G90" t="inlineStr"/>
    </row>
    <row r="91">
      <c r="A91" t="inlineStr">
        <is>
          <t>Minimum Requirements</t>
        </is>
      </c>
      <c r="B91" t="inlineStr">
        <is>
          <t>Iowa</t>
        </is>
      </c>
      <c r="C91" t="inlineStr">
        <is>
          <t>PD SOL Source</t>
        </is>
      </c>
      <c r="D91" t="inlineStr">
        <is>
          <t>Yes</t>
        </is>
      </c>
      <c r="E91" t="inlineStr">
        <is>
          <t>Yes</t>
        </is>
      </c>
      <c r="F91" s="501" t="inlineStr">
        <is>
          <t>Pass</t>
        </is>
      </c>
      <c r="G91" t="inlineStr"/>
    </row>
    <row r="92">
      <c r="A92" t="inlineStr">
        <is>
          <t>Minimum Requirements</t>
        </is>
      </c>
      <c r="B92" t="inlineStr">
        <is>
          <t>Kansas</t>
        </is>
      </c>
      <c r="C92" t="inlineStr">
        <is>
          <t>BI Source</t>
        </is>
      </c>
      <c r="D92" t="inlineStr">
        <is>
          <t>Yes</t>
        </is>
      </c>
      <c r="E92" t="inlineStr">
        <is>
          <t>Yes</t>
        </is>
      </c>
      <c r="F92" s="501" t="inlineStr">
        <is>
          <t>Pass</t>
        </is>
      </c>
      <c r="G92" t="inlineStr"/>
    </row>
    <row r="93">
      <c r="A93" t="inlineStr">
        <is>
          <t>Minimum Requirements</t>
        </is>
      </c>
      <c r="B93" t="inlineStr">
        <is>
          <t>Kansas</t>
        </is>
      </c>
      <c r="C93" t="inlineStr">
        <is>
          <t>PD Source</t>
        </is>
      </c>
      <c r="D93" t="inlineStr">
        <is>
          <t>Yes</t>
        </is>
      </c>
      <c r="E93" t="inlineStr">
        <is>
          <t>Yes</t>
        </is>
      </c>
      <c r="F93" s="501" t="inlineStr">
        <is>
          <t>Pass</t>
        </is>
      </c>
      <c r="G93" t="inlineStr"/>
    </row>
    <row r="94">
      <c r="A94" t="inlineStr">
        <is>
          <t>Minimum Requirements</t>
        </is>
      </c>
      <c r="B94" t="inlineStr">
        <is>
          <t>Kansas</t>
        </is>
      </c>
      <c r="C94" t="inlineStr">
        <is>
          <t>PIP Source</t>
        </is>
      </c>
      <c r="D94" t="inlineStr">
        <is>
          <t>Yes</t>
        </is>
      </c>
      <c r="E94" t="inlineStr">
        <is>
          <t>Yes</t>
        </is>
      </c>
      <c r="F94" s="501" t="inlineStr">
        <is>
          <t>Pass</t>
        </is>
      </c>
      <c r="G94" t="inlineStr"/>
    </row>
    <row r="95">
      <c r="A95" t="inlineStr">
        <is>
          <t>Minimum Requirements</t>
        </is>
      </c>
      <c r="B95" t="inlineStr">
        <is>
          <t>Kansas</t>
        </is>
      </c>
      <c r="C95" t="inlineStr">
        <is>
          <t>UM/UIM Source</t>
        </is>
      </c>
      <c r="D95" t="inlineStr">
        <is>
          <t>Yes</t>
        </is>
      </c>
      <c r="E95" t="inlineStr">
        <is>
          <t>Yes</t>
        </is>
      </c>
      <c r="F95" s="501" t="inlineStr">
        <is>
          <t>Pass</t>
        </is>
      </c>
      <c r="G95" t="inlineStr"/>
    </row>
    <row r="96">
      <c r="A96" t="inlineStr">
        <is>
          <t>Minimum Requirements</t>
        </is>
      </c>
      <c r="B96" t="inlineStr">
        <is>
          <t>Kansas</t>
        </is>
      </c>
      <c r="C96" t="inlineStr">
        <is>
          <t>BI SOL Source</t>
        </is>
      </c>
      <c r="D96" t="inlineStr">
        <is>
          <t>Yes</t>
        </is>
      </c>
      <c r="E96" t="inlineStr">
        <is>
          <t>Yes</t>
        </is>
      </c>
      <c r="F96" s="501" t="inlineStr">
        <is>
          <t>Pass</t>
        </is>
      </c>
      <c r="G96" t="inlineStr"/>
    </row>
    <row r="97">
      <c r="A97" t="inlineStr">
        <is>
          <t>Minimum Requirements</t>
        </is>
      </c>
      <c r="B97" t="inlineStr">
        <is>
          <t>Kansas</t>
        </is>
      </c>
      <c r="C97" t="inlineStr">
        <is>
          <t>PD SOL Source</t>
        </is>
      </c>
      <c r="D97" t="inlineStr">
        <is>
          <t>Yes</t>
        </is>
      </c>
      <c r="E97" t="inlineStr">
        <is>
          <t>Yes</t>
        </is>
      </c>
      <c r="F97" s="501" t="inlineStr">
        <is>
          <t>Pass</t>
        </is>
      </c>
      <c r="G97" t="inlineStr"/>
    </row>
    <row r="98">
      <c r="A98" t="inlineStr">
        <is>
          <t>Minimum Requirements</t>
        </is>
      </c>
      <c r="B98" t="inlineStr">
        <is>
          <t>Kentucky</t>
        </is>
      </c>
      <c r="C98" t="inlineStr">
        <is>
          <t>BI Source</t>
        </is>
      </c>
      <c r="D98" t="inlineStr">
        <is>
          <t>Yes</t>
        </is>
      </c>
      <c r="E98" t="inlineStr">
        <is>
          <t>Yes</t>
        </is>
      </c>
      <c r="F98" s="501" t="inlineStr">
        <is>
          <t>Pass</t>
        </is>
      </c>
      <c r="G98" t="inlineStr"/>
    </row>
    <row r="99">
      <c r="A99" t="inlineStr">
        <is>
          <t>Minimum Requirements</t>
        </is>
      </c>
      <c r="B99" t="inlineStr">
        <is>
          <t>Kentucky</t>
        </is>
      </c>
      <c r="C99" t="inlineStr">
        <is>
          <t>PD Source</t>
        </is>
      </c>
      <c r="D99" t="inlineStr">
        <is>
          <t>Yes</t>
        </is>
      </c>
      <c r="E99" t="inlineStr">
        <is>
          <t>Yes</t>
        </is>
      </c>
      <c r="F99" s="501" t="inlineStr">
        <is>
          <t>Pass</t>
        </is>
      </c>
      <c r="G99" t="inlineStr"/>
    </row>
    <row r="100">
      <c r="A100" t="inlineStr">
        <is>
          <t>Minimum Requirements</t>
        </is>
      </c>
      <c r="B100" t="inlineStr">
        <is>
          <t>Kentucky</t>
        </is>
      </c>
      <c r="C100" t="inlineStr">
        <is>
          <t>PIP Source</t>
        </is>
      </c>
      <c r="D100" t="inlineStr">
        <is>
          <t>Yes</t>
        </is>
      </c>
      <c r="E100" t="inlineStr">
        <is>
          <t>Yes</t>
        </is>
      </c>
      <c r="F100" s="501" t="inlineStr">
        <is>
          <t>Pass</t>
        </is>
      </c>
      <c r="G100" t="inlineStr"/>
    </row>
    <row r="101">
      <c r="A101" t="inlineStr">
        <is>
          <t>Minimum Requirements</t>
        </is>
      </c>
      <c r="B101" t="inlineStr">
        <is>
          <t>Kentucky</t>
        </is>
      </c>
      <c r="C101" t="inlineStr">
        <is>
          <t>UM/UIM Source</t>
        </is>
      </c>
      <c r="D101" t="inlineStr">
        <is>
          <t>Yes</t>
        </is>
      </c>
      <c r="E101" t="inlineStr">
        <is>
          <t>Yes</t>
        </is>
      </c>
      <c r="F101" s="501" t="inlineStr">
        <is>
          <t>Pass</t>
        </is>
      </c>
      <c r="G101" t="inlineStr"/>
    </row>
    <row r="102">
      <c r="A102" t="inlineStr">
        <is>
          <t>Minimum Requirements</t>
        </is>
      </c>
      <c r="B102" t="inlineStr">
        <is>
          <t>Kentucky</t>
        </is>
      </c>
      <c r="C102" t="inlineStr">
        <is>
          <t>BI SOL Source</t>
        </is>
      </c>
      <c r="D102" t="inlineStr">
        <is>
          <t>Yes</t>
        </is>
      </c>
      <c r="E102" t="inlineStr">
        <is>
          <t>Yes</t>
        </is>
      </c>
      <c r="F102" s="501" t="inlineStr">
        <is>
          <t>Pass</t>
        </is>
      </c>
      <c r="G102" t="inlineStr"/>
    </row>
    <row r="103">
      <c r="A103" t="inlineStr">
        <is>
          <t>Minimum Requirements</t>
        </is>
      </c>
      <c r="B103" t="inlineStr">
        <is>
          <t>Kentucky</t>
        </is>
      </c>
      <c r="C103" t="inlineStr">
        <is>
          <t>PD SOL Source</t>
        </is>
      </c>
      <c r="D103" t="inlineStr">
        <is>
          <t>Yes</t>
        </is>
      </c>
      <c r="E103" t="inlineStr">
        <is>
          <t>Yes</t>
        </is>
      </c>
      <c r="F103" s="501" t="inlineStr">
        <is>
          <t>Pass</t>
        </is>
      </c>
      <c r="G103" t="inlineStr"/>
    </row>
    <row r="104">
      <c r="A104" t="inlineStr">
        <is>
          <t>Minimum Requirements</t>
        </is>
      </c>
      <c r="B104" t="inlineStr">
        <is>
          <t>Louisiana</t>
        </is>
      </c>
      <c r="C104" t="inlineStr">
        <is>
          <t>BI Source</t>
        </is>
      </c>
      <c r="D104" t="inlineStr">
        <is>
          <t>Yes</t>
        </is>
      </c>
      <c r="E104" t="inlineStr">
        <is>
          <t>Yes</t>
        </is>
      </c>
      <c r="F104" s="501" t="inlineStr">
        <is>
          <t>Pass</t>
        </is>
      </c>
      <c r="G104" t="inlineStr"/>
    </row>
    <row r="105">
      <c r="A105" t="inlineStr">
        <is>
          <t>Minimum Requirements</t>
        </is>
      </c>
      <c r="B105" t="inlineStr">
        <is>
          <t>Louisiana</t>
        </is>
      </c>
      <c r="C105" t="inlineStr">
        <is>
          <t>PD Source</t>
        </is>
      </c>
      <c r="D105" t="inlineStr">
        <is>
          <t>Yes</t>
        </is>
      </c>
      <c r="E105" t="inlineStr">
        <is>
          <t>Yes</t>
        </is>
      </c>
      <c r="F105" s="501" t="inlineStr">
        <is>
          <t>Pass</t>
        </is>
      </c>
      <c r="G105" t="inlineStr"/>
    </row>
    <row r="106">
      <c r="A106" t="inlineStr">
        <is>
          <t>Minimum Requirements</t>
        </is>
      </c>
      <c r="B106" t="inlineStr">
        <is>
          <t>Louisiana</t>
        </is>
      </c>
      <c r="C106" t="inlineStr">
        <is>
          <t>PIP Source</t>
        </is>
      </c>
      <c r="D106" t="inlineStr">
        <is>
          <t>Yes</t>
        </is>
      </c>
      <c r="E106" t="inlineStr">
        <is>
          <t>Yes</t>
        </is>
      </c>
      <c r="F106" s="501" t="inlineStr">
        <is>
          <t>Pass</t>
        </is>
      </c>
      <c r="G106" t="inlineStr"/>
    </row>
    <row r="107">
      <c r="A107" t="inlineStr">
        <is>
          <t>Minimum Requirements</t>
        </is>
      </c>
      <c r="B107" t="inlineStr">
        <is>
          <t>Louisiana</t>
        </is>
      </c>
      <c r="C107" t="inlineStr">
        <is>
          <t>UM/UIM Source</t>
        </is>
      </c>
      <c r="D107" t="inlineStr">
        <is>
          <t>Yes</t>
        </is>
      </c>
      <c r="E107" t="inlineStr">
        <is>
          <t>Yes</t>
        </is>
      </c>
      <c r="F107" s="501" t="inlineStr">
        <is>
          <t>Pass</t>
        </is>
      </c>
      <c r="G107" t="inlineStr"/>
    </row>
    <row r="108">
      <c r="A108" t="inlineStr">
        <is>
          <t>Minimum Requirements</t>
        </is>
      </c>
      <c r="B108" t="inlineStr">
        <is>
          <t>Louisiana</t>
        </is>
      </c>
      <c r="C108" t="inlineStr">
        <is>
          <t>BI SOL Source</t>
        </is>
      </c>
      <c r="D108" t="inlineStr">
        <is>
          <t>Yes</t>
        </is>
      </c>
      <c r="E108" t="inlineStr">
        <is>
          <t>Yes</t>
        </is>
      </c>
      <c r="F108" s="501" t="inlineStr">
        <is>
          <t>Pass</t>
        </is>
      </c>
      <c r="G108" t="inlineStr"/>
    </row>
    <row r="109">
      <c r="A109" t="inlineStr">
        <is>
          <t>Minimum Requirements</t>
        </is>
      </c>
      <c r="B109" t="inlineStr">
        <is>
          <t>Louisiana</t>
        </is>
      </c>
      <c r="C109" t="inlineStr">
        <is>
          <t>PD SOL Source</t>
        </is>
      </c>
      <c r="D109" t="inlineStr">
        <is>
          <t>Yes</t>
        </is>
      </c>
      <c r="E109" t="inlineStr">
        <is>
          <t>Yes</t>
        </is>
      </c>
      <c r="F109" s="501" t="inlineStr">
        <is>
          <t>Pass</t>
        </is>
      </c>
      <c r="G109" t="inlineStr"/>
    </row>
    <row r="110">
      <c r="A110" t="inlineStr">
        <is>
          <t>Minimum Requirements</t>
        </is>
      </c>
      <c r="B110" t="inlineStr">
        <is>
          <t>Maine</t>
        </is>
      </c>
      <c r="C110" t="inlineStr">
        <is>
          <t>BI Source</t>
        </is>
      </c>
      <c r="D110" t="inlineStr">
        <is>
          <t>Yes</t>
        </is>
      </c>
      <c r="E110" t="inlineStr">
        <is>
          <t>Yes</t>
        </is>
      </c>
      <c r="F110" s="501" t="inlineStr">
        <is>
          <t>Pass</t>
        </is>
      </c>
      <c r="G110" t="inlineStr"/>
    </row>
    <row r="111">
      <c r="A111" t="inlineStr">
        <is>
          <t>Minimum Requirements</t>
        </is>
      </c>
      <c r="B111" t="inlineStr">
        <is>
          <t>Maine</t>
        </is>
      </c>
      <c r="C111" t="inlineStr">
        <is>
          <t>PD Source</t>
        </is>
      </c>
      <c r="D111" t="inlineStr">
        <is>
          <t>Yes</t>
        </is>
      </c>
      <c r="E111" t="inlineStr">
        <is>
          <t>Yes</t>
        </is>
      </c>
      <c r="F111" s="501" t="inlineStr">
        <is>
          <t>Pass</t>
        </is>
      </c>
      <c r="G111" t="inlineStr"/>
    </row>
    <row r="112">
      <c r="A112" t="inlineStr">
        <is>
          <t>Minimum Requirements</t>
        </is>
      </c>
      <c r="B112" t="inlineStr">
        <is>
          <t>Maine</t>
        </is>
      </c>
      <c r="C112" t="inlineStr">
        <is>
          <t>PIP Source</t>
        </is>
      </c>
      <c r="D112" t="inlineStr">
        <is>
          <t>Yes</t>
        </is>
      </c>
      <c r="E112" t="inlineStr">
        <is>
          <t>Yes</t>
        </is>
      </c>
      <c r="F112" s="501" t="inlineStr">
        <is>
          <t>Pass</t>
        </is>
      </c>
      <c r="G112" t="inlineStr"/>
    </row>
    <row r="113">
      <c r="A113" t="inlineStr">
        <is>
          <t>Minimum Requirements</t>
        </is>
      </c>
      <c r="B113" t="inlineStr">
        <is>
          <t>Maine</t>
        </is>
      </c>
      <c r="C113" t="inlineStr">
        <is>
          <t>UM/UIM Source</t>
        </is>
      </c>
      <c r="D113" t="inlineStr">
        <is>
          <t>Yes</t>
        </is>
      </c>
      <c r="E113" t="inlineStr">
        <is>
          <t>Yes</t>
        </is>
      </c>
      <c r="F113" s="501" t="inlineStr">
        <is>
          <t>Pass</t>
        </is>
      </c>
      <c r="G113" t="inlineStr"/>
    </row>
    <row r="114">
      <c r="A114" t="inlineStr">
        <is>
          <t>Minimum Requirements</t>
        </is>
      </c>
      <c r="B114" t="inlineStr">
        <is>
          <t>Maine</t>
        </is>
      </c>
      <c r="C114" t="inlineStr">
        <is>
          <t>BI SOL Source</t>
        </is>
      </c>
      <c r="D114" t="inlineStr">
        <is>
          <t>Yes</t>
        </is>
      </c>
      <c r="E114" t="inlineStr">
        <is>
          <t>Yes</t>
        </is>
      </c>
      <c r="F114" s="501" t="inlineStr">
        <is>
          <t>Pass</t>
        </is>
      </c>
      <c r="G114" t="inlineStr"/>
    </row>
    <row r="115">
      <c r="A115" t="inlineStr">
        <is>
          <t>Minimum Requirements</t>
        </is>
      </c>
      <c r="B115" t="inlineStr">
        <is>
          <t>Maine</t>
        </is>
      </c>
      <c r="C115" t="inlineStr">
        <is>
          <t>PD SOL Source</t>
        </is>
      </c>
      <c r="D115" t="inlineStr">
        <is>
          <t>Yes</t>
        </is>
      </c>
      <c r="E115" t="inlineStr">
        <is>
          <t>Yes</t>
        </is>
      </c>
      <c r="F115" s="501" t="inlineStr">
        <is>
          <t>Pass</t>
        </is>
      </c>
      <c r="G115" t="inlineStr"/>
    </row>
    <row r="116">
      <c r="A116" t="inlineStr">
        <is>
          <t>Minimum Requirements</t>
        </is>
      </c>
      <c r="B116" t="inlineStr">
        <is>
          <t>Maryland</t>
        </is>
      </c>
      <c r="C116" t="inlineStr">
        <is>
          <t>BI Source</t>
        </is>
      </c>
      <c r="D116" t="inlineStr">
        <is>
          <t>Yes</t>
        </is>
      </c>
      <c r="E116" t="inlineStr">
        <is>
          <t>Yes</t>
        </is>
      </c>
      <c r="F116" s="501" t="inlineStr">
        <is>
          <t>Pass</t>
        </is>
      </c>
      <c r="G116" t="inlineStr"/>
    </row>
    <row r="117">
      <c r="A117" t="inlineStr">
        <is>
          <t>Minimum Requirements</t>
        </is>
      </c>
      <c r="B117" t="inlineStr">
        <is>
          <t>Maryland</t>
        </is>
      </c>
      <c r="C117" t="inlineStr">
        <is>
          <t>PD Source</t>
        </is>
      </c>
      <c r="D117" t="inlineStr">
        <is>
          <t>Yes</t>
        </is>
      </c>
      <c r="E117" t="inlineStr">
        <is>
          <t>Yes</t>
        </is>
      </c>
      <c r="F117" s="501" t="inlineStr">
        <is>
          <t>Pass</t>
        </is>
      </c>
      <c r="G117" t="inlineStr"/>
    </row>
    <row r="118">
      <c r="A118" t="inlineStr">
        <is>
          <t>Minimum Requirements</t>
        </is>
      </c>
      <c r="B118" t="inlineStr">
        <is>
          <t>Maryland</t>
        </is>
      </c>
      <c r="C118" t="inlineStr">
        <is>
          <t>PIP Source</t>
        </is>
      </c>
      <c r="D118" t="inlineStr">
        <is>
          <t>Yes</t>
        </is>
      </c>
      <c r="E118" t="inlineStr">
        <is>
          <t>Yes</t>
        </is>
      </c>
      <c r="F118" s="501" t="inlineStr">
        <is>
          <t>Pass</t>
        </is>
      </c>
      <c r="G118" t="inlineStr"/>
    </row>
    <row r="119">
      <c r="A119" t="inlineStr">
        <is>
          <t>Minimum Requirements</t>
        </is>
      </c>
      <c r="B119" t="inlineStr">
        <is>
          <t>Maryland</t>
        </is>
      </c>
      <c r="C119" t="inlineStr">
        <is>
          <t>UM/UIM Source</t>
        </is>
      </c>
      <c r="D119" t="inlineStr">
        <is>
          <t>Yes</t>
        </is>
      </c>
      <c r="E119" t="inlineStr">
        <is>
          <t>Yes</t>
        </is>
      </c>
      <c r="F119" s="501" t="inlineStr">
        <is>
          <t>Pass</t>
        </is>
      </c>
      <c r="G119" t="inlineStr"/>
    </row>
    <row r="120">
      <c r="A120" t="inlineStr">
        <is>
          <t>Minimum Requirements</t>
        </is>
      </c>
      <c r="B120" t="inlineStr">
        <is>
          <t>Maryland</t>
        </is>
      </c>
      <c r="C120" t="inlineStr">
        <is>
          <t>BI SOL Source</t>
        </is>
      </c>
      <c r="D120" t="inlineStr">
        <is>
          <t>Yes</t>
        </is>
      </c>
      <c r="E120" t="inlineStr">
        <is>
          <t>Yes</t>
        </is>
      </c>
      <c r="F120" s="501" t="inlineStr">
        <is>
          <t>Pass</t>
        </is>
      </c>
      <c r="G120" t="inlineStr"/>
    </row>
    <row r="121">
      <c r="A121" t="inlineStr">
        <is>
          <t>Minimum Requirements</t>
        </is>
      </c>
      <c r="B121" t="inlineStr">
        <is>
          <t>Maryland</t>
        </is>
      </c>
      <c r="C121" t="inlineStr">
        <is>
          <t>PD SOL Source</t>
        </is>
      </c>
      <c r="D121" t="inlineStr">
        <is>
          <t>Yes</t>
        </is>
      </c>
      <c r="E121" t="inlineStr">
        <is>
          <t>Yes</t>
        </is>
      </c>
      <c r="F121" s="501" t="inlineStr">
        <is>
          <t>Pass</t>
        </is>
      </c>
      <c r="G121" t="inlineStr"/>
    </row>
    <row r="122">
      <c r="A122" t="inlineStr">
        <is>
          <t>Minimum Requirements</t>
        </is>
      </c>
      <c r="B122" t="inlineStr">
        <is>
          <t>Massachusetts</t>
        </is>
      </c>
      <c r="C122" t="inlineStr">
        <is>
          <t>BI Source</t>
        </is>
      </c>
      <c r="D122" t="inlineStr">
        <is>
          <t>Yes</t>
        </is>
      </c>
      <c r="E122" t="inlineStr">
        <is>
          <t>Yes</t>
        </is>
      </c>
      <c r="F122" s="501" t="inlineStr">
        <is>
          <t>Pass</t>
        </is>
      </c>
      <c r="G122" t="inlineStr"/>
    </row>
    <row r="123">
      <c r="A123" t="inlineStr">
        <is>
          <t>Minimum Requirements</t>
        </is>
      </c>
      <c r="B123" t="inlineStr">
        <is>
          <t>Massachusetts</t>
        </is>
      </c>
      <c r="C123" t="inlineStr">
        <is>
          <t>PD Source</t>
        </is>
      </c>
      <c r="D123" t="inlineStr">
        <is>
          <t>Yes</t>
        </is>
      </c>
      <c r="E123" t="inlineStr">
        <is>
          <t>Yes</t>
        </is>
      </c>
      <c r="F123" s="501" t="inlineStr">
        <is>
          <t>Pass</t>
        </is>
      </c>
      <c r="G123" t="inlineStr"/>
    </row>
    <row r="124">
      <c r="A124" t="inlineStr">
        <is>
          <t>Minimum Requirements</t>
        </is>
      </c>
      <c r="B124" t="inlineStr">
        <is>
          <t>Massachusetts</t>
        </is>
      </c>
      <c r="C124" t="inlineStr">
        <is>
          <t>PIP Source</t>
        </is>
      </c>
      <c r="D124" t="inlineStr">
        <is>
          <t>Yes</t>
        </is>
      </c>
      <c r="E124" t="inlineStr">
        <is>
          <t>Yes</t>
        </is>
      </c>
      <c r="F124" s="501" t="inlineStr">
        <is>
          <t>Pass</t>
        </is>
      </c>
      <c r="G124" t="inlineStr"/>
    </row>
    <row r="125">
      <c r="A125" t="inlineStr">
        <is>
          <t>Minimum Requirements</t>
        </is>
      </c>
      <c r="B125" t="inlineStr">
        <is>
          <t>Massachusetts</t>
        </is>
      </c>
      <c r="C125" t="inlineStr">
        <is>
          <t>UM/UIM Source</t>
        </is>
      </c>
      <c r="D125" t="inlineStr">
        <is>
          <t>Yes</t>
        </is>
      </c>
      <c r="E125" t="inlineStr">
        <is>
          <t>Yes</t>
        </is>
      </c>
      <c r="F125" s="501" t="inlineStr">
        <is>
          <t>Pass</t>
        </is>
      </c>
      <c r="G125" t="inlineStr"/>
    </row>
    <row r="126">
      <c r="A126" t="inlineStr">
        <is>
          <t>Minimum Requirements</t>
        </is>
      </c>
      <c r="B126" t="inlineStr">
        <is>
          <t>Massachusetts</t>
        </is>
      </c>
      <c r="C126" t="inlineStr">
        <is>
          <t>BI SOL Source</t>
        </is>
      </c>
      <c r="D126" t="inlineStr">
        <is>
          <t>Yes</t>
        </is>
      </c>
      <c r="E126" t="inlineStr">
        <is>
          <t>Yes</t>
        </is>
      </c>
      <c r="F126" s="501" t="inlineStr">
        <is>
          <t>Pass</t>
        </is>
      </c>
      <c r="G126" t="inlineStr"/>
    </row>
    <row r="127">
      <c r="A127" t="inlineStr">
        <is>
          <t>Minimum Requirements</t>
        </is>
      </c>
      <c r="B127" t="inlineStr">
        <is>
          <t>Massachusetts</t>
        </is>
      </c>
      <c r="C127" t="inlineStr">
        <is>
          <t>PD SOL Source</t>
        </is>
      </c>
      <c r="D127" t="inlineStr">
        <is>
          <t>Yes</t>
        </is>
      </c>
      <c r="E127" t="inlineStr">
        <is>
          <t>Yes</t>
        </is>
      </c>
      <c r="F127" s="501" t="inlineStr">
        <is>
          <t>Pass</t>
        </is>
      </c>
      <c r="G127" t="inlineStr"/>
    </row>
    <row r="128">
      <c r="A128" t="inlineStr">
        <is>
          <t>Minimum Requirements</t>
        </is>
      </c>
      <c r="B128" t="inlineStr">
        <is>
          <t>Michigan</t>
        </is>
      </c>
      <c r="C128" t="inlineStr">
        <is>
          <t>BI Source</t>
        </is>
      </c>
      <c r="D128" t="inlineStr">
        <is>
          <t>Yes</t>
        </is>
      </c>
      <c r="E128" t="inlineStr">
        <is>
          <t>Yes</t>
        </is>
      </c>
      <c r="F128" s="501" t="inlineStr">
        <is>
          <t>Pass</t>
        </is>
      </c>
      <c r="G128" t="inlineStr"/>
    </row>
    <row r="129">
      <c r="A129" t="inlineStr">
        <is>
          <t>Minimum Requirements</t>
        </is>
      </c>
      <c r="B129" t="inlineStr">
        <is>
          <t>Michigan</t>
        </is>
      </c>
      <c r="C129" t="inlineStr">
        <is>
          <t>PD Source</t>
        </is>
      </c>
      <c r="D129" t="inlineStr">
        <is>
          <t>Yes</t>
        </is>
      </c>
      <c r="E129" t="inlineStr">
        <is>
          <t>Yes</t>
        </is>
      </c>
      <c r="F129" s="501" t="inlineStr">
        <is>
          <t>Pass</t>
        </is>
      </c>
      <c r="G129" t="inlineStr"/>
    </row>
    <row r="130">
      <c r="A130" t="inlineStr">
        <is>
          <t>Minimum Requirements</t>
        </is>
      </c>
      <c r="B130" t="inlineStr">
        <is>
          <t>Michigan</t>
        </is>
      </c>
      <c r="C130" t="inlineStr">
        <is>
          <t>PIP Source</t>
        </is>
      </c>
      <c r="D130" t="inlineStr">
        <is>
          <t>Yes</t>
        </is>
      </c>
      <c r="E130" t="inlineStr">
        <is>
          <t>Yes</t>
        </is>
      </c>
      <c r="F130" s="501" t="inlineStr">
        <is>
          <t>Pass</t>
        </is>
      </c>
      <c r="G130" t="inlineStr"/>
    </row>
    <row r="131">
      <c r="A131" t="inlineStr">
        <is>
          <t>Minimum Requirements</t>
        </is>
      </c>
      <c r="B131" t="inlineStr">
        <is>
          <t>Michigan</t>
        </is>
      </c>
      <c r="C131" t="inlineStr">
        <is>
          <t>UM/UIM Source</t>
        </is>
      </c>
      <c r="D131" t="inlineStr">
        <is>
          <t>Yes</t>
        </is>
      </c>
      <c r="E131" t="inlineStr">
        <is>
          <t>Yes</t>
        </is>
      </c>
      <c r="F131" s="501" t="inlineStr">
        <is>
          <t>Pass</t>
        </is>
      </c>
      <c r="G131" t="inlineStr"/>
    </row>
    <row r="132">
      <c r="A132" t="inlineStr">
        <is>
          <t>Minimum Requirements</t>
        </is>
      </c>
      <c r="B132" t="inlineStr">
        <is>
          <t>Michigan</t>
        </is>
      </c>
      <c r="C132" t="inlineStr">
        <is>
          <t>BI SOL Source</t>
        </is>
      </c>
      <c r="D132" t="inlineStr">
        <is>
          <t>Yes</t>
        </is>
      </c>
      <c r="E132" t="inlineStr">
        <is>
          <t>Yes</t>
        </is>
      </c>
      <c r="F132" s="501" t="inlineStr">
        <is>
          <t>Pass</t>
        </is>
      </c>
      <c r="G132" t="inlineStr"/>
    </row>
    <row r="133">
      <c r="A133" t="inlineStr">
        <is>
          <t>Minimum Requirements</t>
        </is>
      </c>
      <c r="B133" t="inlineStr">
        <is>
          <t>Michigan</t>
        </is>
      </c>
      <c r="C133" t="inlineStr">
        <is>
          <t>PD SOL Source</t>
        </is>
      </c>
      <c r="D133" t="inlineStr">
        <is>
          <t>Yes</t>
        </is>
      </c>
      <c r="E133" t="inlineStr">
        <is>
          <t>Yes</t>
        </is>
      </c>
      <c r="F133" s="501" t="inlineStr">
        <is>
          <t>Pass</t>
        </is>
      </c>
      <c r="G133" t="inlineStr"/>
    </row>
    <row r="134">
      <c r="A134" t="inlineStr">
        <is>
          <t>Minimum Requirements</t>
        </is>
      </c>
      <c r="B134" t="inlineStr">
        <is>
          <t>Minnesota</t>
        </is>
      </c>
      <c r="C134" t="inlineStr">
        <is>
          <t>BI Source</t>
        </is>
      </c>
      <c r="D134" t="inlineStr">
        <is>
          <t>Yes</t>
        </is>
      </c>
      <c r="E134" t="inlineStr">
        <is>
          <t>Yes</t>
        </is>
      </c>
      <c r="F134" s="501" t="inlineStr">
        <is>
          <t>Pass</t>
        </is>
      </c>
      <c r="G134" t="inlineStr"/>
    </row>
    <row r="135">
      <c r="A135" t="inlineStr">
        <is>
          <t>Minimum Requirements</t>
        </is>
      </c>
      <c r="B135" t="inlineStr">
        <is>
          <t>Minnesota</t>
        </is>
      </c>
      <c r="C135" t="inlineStr">
        <is>
          <t>PD Source</t>
        </is>
      </c>
      <c r="D135" t="inlineStr">
        <is>
          <t>Yes</t>
        </is>
      </c>
      <c r="E135" t="inlineStr">
        <is>
          <t>Yes</t>
        </is>
      </c>
      <c r="F135" s="501" t="inlineStr">
        <is>
          <t>Pass</t>
        </is>
      </c>
      <c r="G135" t="inlineStr"/>
    </row>
    <row r="136">
      <c r="A136" t="inlineStr">
        <is>
          <t>Minimum Requirements</t>
        </is>
      </c>
      <c r="B136" t="inlineStr">
        <is>
          <t>Minnesota</t>
        </is>
      </c>
      <c r="C136" t="inlineStr">
        <is>
          <t>PIP Source</t>
        </is>
      </c>
      <c r="D136" t="inlineStr">
        <is>
          <t>Yes</t>
        </is>
      </c>
      <c r="E136" t="inlineStr">
        <is>
          <t>Yes</t>
        </is>
      </c>
      <c r="F136" s="501" t="inlineStr">
        <is>
          <t>Pass</t>
        </is>
      </c>
      <c r="G136" t="inlineStr"/>
    </row>
    <row r="137">
      <c r="A137" t="inlineStr">
        <is>
          <t>Minimum Requirements</t>
        </is>
      </c>
      <c r="B137" t="inlineStr">
        <is>
          <t>Minnesota</t>
        </is>
      </c>
      <c r="C137" t="inlineStr">
        <is>
          <t>UM/UIM Source</t>
        </is>
      </c>
      <c r="D137" t="inlineStr">
        <is>
          <t>Yes</t>
        </is>
      </c>
      <c r="E137" t="inlineStr">
        <is>
          <t>Yes</t>
        </is>
      </c>
      <c r="F137" s="501" t="inlineStr">
        <is>
          <t>Pass</t>
        </is>
      </c>
      <c r="G137" t="inlineStr"/>
    </row>
    <row r="138">
      <c r="A138" t="inlineStr">
        <is>
          <t>Minimum Requirements</t>
        </is>
      </c>
      <c r="B138" t="inlineStr">
        <is>
          <t>Minnesota</t>
        </is>
      </c>
      <c r="C138" t="inlineStr">
        <is>
          <t>BI SOL Source</t>
        </is>
      </c>
      <c r="D138" t="inlineStr">
        <is>
          <t>Yes</t>
        </is>
      </c>
      <c r="E138" t="inlineStr">
        <is>
          <t>Yes</t>
        </is>
      </c>
      <c r="F138" s="501" t="inlineStr">
        <is>
          <t>Pass</t>
        </is>
      </c>
      <c r="G138" t="inlineStr"/>
    </row>
    <row r="139">
      <c r="A139" t="inlineStr">
        <is>
          <t>Minimum Requirements</t>
        </is>
      </c>
      <c r="B139" t="inlineStr">
        <is>
          <t>Minnesota</t>
        </is>
      </c>
      <c r="C139" t="inlineStr">
        <is>
          <t>PD SOL Source</t>
        </is>
      </c>
      <c r="D139" t="inlineStr">
        <is>
          <t>Yes</t>
        </is>
      </c>
      <c r="E139" t="inlineStr">
        <is>
          <t>Yes</t>
        </is>
      </c>
      <c r="F139" s="501" t="inlineStr">
        <is>
          <t>Pass</t>
        </is>
      </c>
      <c r="G139" t="inlineStr"/>
    </row>
    <row r="140">
      <c r="A140" t="inlineStr">
        <is>
          <t>Minimum Requirements</t>
        </is>
      </c>
      <c r="B140" t="inlineStr">
        <is>
          <t>Mississippi</t>
        </is>
      </c>
      <c r="C140" t="inlineStr">
        <is>
          <t>BI Source</t>
        </is>
      </c>
      <c r="D140" t="inlineStr">
        <is>
          <t>Yes</t>
        </is>
      </c>
      <c r="E140" t="inlineStr">
        <is>
          <t>Yes</t>
        </is>
      </c>
      <c r="F140" s="501" t="inlineStr">
        <is>
          <t>Pass</t>
        </is>
      </c>
      <c r="G140" t="inlineStr"/>
    </row>
    <row r="141">
      <c r="A141" t="inlineStr">
        <is>
          <t>Minimum Requirements</t>
        </is>
      </c>
      <c r="B141" t="inlineStr">
        <is>
          <t>Mississippi</t>
        </is>
      </c>
      <c r="C141" t="inlineStr">
        <is>
          <t>PD Source</t>
        </is>
      </c>
      <c r="D141" t="inlineStr">
        <is>
          <t>Yes</t>
        </is>
      </c>
      <c r="E141" t="inlineStr">
        <is>
          <t>Yes</t>
        </is>
      </c>
      <c r="F141" s="501" t="inlineStr">
        <is>
          <t>Pass</t>
        </is>
      </c>
      <c r="G141" t="inlineStr"/>
    </row>
    <row r="142">
      <c r="A142" t="inlineStr">
        <is>
          <t>Minimum Requirements</t>
        </is>
      </c>
      <c r="B142" t="inlineStr">
        <is>
          <t>Mississippi</t>
        </is>
      </c>
      <c r="C142" t="inlineStr">
        <is>
          <t>PIP Source</t>
        </is>
      </c>
      <c r="D142" t="inlineStr">
        <is>
          <t>Yes</t>
        </is>
      </c>
      <c r="E142" t="inlineStr">
        <is>
          <t>Yes</t>
        </is>
      </c>
      <c r="F142" s="501" t="inlineStr">
        <is>
          <t>Pass</t>
        </is>
      </c>
      <c r="G142" t="inlineStr"/>
    </row>
    <row r="143">
      <c r="A143" t="inlineStr">
        <is>
          <t>Minimum Requirements</t>
        </is>
      </c>
      <c r="B143" t="inlineStr">
        <is>
          <t>Mississippi</t>
        </is>
      </c>
      <c r="C143" t="inlineStr">
        <is>
          <t>UM/UIM Source</t>
        </is>
      </c>
      <c r="D143" t="inlineStr">
        <is>
          <t>Yes</t>
        </is>
      </c>
      <c r="E143" t="inlineStr">
        <is>
          <t>Yes</t>
        </is>
      </c>
      <c r="F143" s="501" t="inlineStr">
        <is>
          <t>Pass</t>
        </is>
      </c>
      <c r="G143" t="inlineStr"/>
    </row>
    <row r="144">
      <c r="A144" t="inlineStr">
        <is>
          <t>Minimum Requirements</t>
        </is>
      </c>
      <c r="B144" t="inlineStr">
        <is>
          <t>Mississippi</t>
        </is>
      </c>
      <c r="C144" t="inlineStr">
        <is>
          <t>BI SOL Source</t>
        </is>
      </c>
      <c r="D144" t="inlineStr">
        <is>
          <t>Yes</t>
        </is>
      </c>
      <c r="E144" t="inlineStr">
        <is>
          <t>Yes</t>
        </is>
      </c>
      <c r="F144" s="501" t="inlineStr">
        <is>
          <t>Pass</t>
        </is>
      </c>
      <c r="G144" t="inlineStr"/>
    </row>
    <row r="145">
      <c r="A145" t="inlineStr">
        <is>
          <t>Minimum Requirements</t>
        </is>
      </c>
      <c r="B145" t="inlineStr">
        <is>
          <t>Mississippi</t>
        </is>
      </c>
      <c r="C145" t="inlineStr">
        <is>
          <t>PD SOL Source</t>
        </is>
      </c>
      <c r="D145" t="inlineStr">
        <is>
          <t>Yes</t>
        </is>
      </c>
      <c r="E145" t="inlineStr">
        <is>
          <t>Yes</t>
        </is>
      </c>
      <c r="F145" s="501" t="inlineStr">
        <is>
          <t>Pass</t>
        </is>
      </c>
      <c r="G145" t="inlineStr"/>
    </row>
    <row r="146">
      <c r="A146" t="inlineStr">
        <is>
          <t>Minimum Requirements</t>
        </is>
      </c>
      <c r="B146" t="inlineStr">
        <is>
          <t>Missouri</t>
        </is>
      </c>
      <c r="C146" t="inlineStr">
        <is>
          <t>BI Source</t>
        </is>
      </c>
      <c r="D146" t="inlineStr">
        <is>
          <t>Yes</t>
        </is>
      </c>
      <c r="E146" t="inlineStr">
        <is>
          <t>Yes</t>
        </is>
      </c>
      <c r="F146" s="501" t="inlineStr">
        <is>
          <t>Pass</t>
        </is>
      </c>
      <c r="G146" t="inlineStr"/>
    </row>
    <row r="147">
      <c r="A147" t="inlineStr">
        <is>
          <t>Minimum Requirements</t>
        </is>
      </c>
      <c r="B147" t="inlineStr">
        <is>
          <t>Missouri</t>
        </is>
      </c>
      <c r="C147" t="inlineStr">
        <is>
          <t>PD Source</t>
        </is>
      </c>
      <c r="D147" t="inlineStr">
        <is>
          <t>Yes</t>
        </is>
      </c>
      <c r="E147" t="inlineStr">
        <is>
          <t>Yes</t>
        </is>
      </c>
      <c r="F147" s="501" t="inlineStr">
        <is>
          <t>Pass</t>
        </is>
      </c>
      <c r="G147" t="inlineStr"/>
    </row>
    <row r="148">
      <c r="A148" t="inlineStr">
        <is>
          <t>Minimum Requirements</t>
        </is>
      </c>
      <c r="B148" t="inlineStr">
        <is>
          <t>Missouri</t>
        </is>
      </c>
      <c r="C148" t="inlineStr">
        <is>
          <t>PIP Source</t>
        </is>
      </c>
      <c r="D148" t="inlineStr">
        <is>
          <t>Yes</t>
        </is>
      </c>
      <c r="E148" t="inlineStr">
        <is>
          <t>Yes</t>
        </is>
      </c>
      <c r="F148" s="501" t="inlineStr">
        <is>
          <t>Pass</t>
        </is>
      </c>
      <c r="G148" t="inlineStr"/>
    </row>
    <row r="149">
      <c r="A149" t="inlineStr">
        <is>
          <t>Minimum Requirements</t>
        </is>
      </c>
      <c r="B149" t="inlineStr">
        <is>
          <t>Missouri</t>
        </is>
      </c>
      <c r="C149" t="inlineStr">
        <is>
          <t>UM/UIM Source</t>
        </is>
      </c>
      <c r="D149" t="inlineStr">
        <is>
          <t>Yes</t>
        </is>
      </c>
      <c r="E149" t="inlineStr">
        <is>
          <t>Yes</t>
        </is>
      </c>
      <c r="F149" s="501" t="inlineStr">
        <is>
          <t>Pass</t>
        </is>
      </c>
      <c r="G149" t="inlineStr"/>
    </row>
    <row r="150">
      <c r="A150" t="inlineStr">
        <is>
          <t>Minimum Requirements</t>
        </is>
      </c>
      <c r="B150" t="inlineStr">
        <is>
          <t>Missouri</t>
        </is>
      </c>
      <c r="C150" t="inlineStr">
        <is>
          <t>BI SOL Source</t>
        </is>
      </c>
      <c r="D150" t="inlineStr">
        <is>
          <t>Yes</t>
        </is>
      </c>
      <c r="E150" t="inlineStr">
        <is>
          <t>Yes</t>
        </is>
      </c>
      <c r="F150" s="501" t="inlineStr">
        <is>
          <t>Pass</t>
        </is>
      </c>
      <c r="G150" t="inlineStr"/>
    </row>
    <row r="151">
      <c r="A151" t="inlineStr">
        <is>
          <t>Minimum Requirements</t>
        </is>
      </c>
      <c r="B151" t="inlineStr">
        <is>
          <t>Missouri</t>
        </is>
      </c>
      <c r="C151" t="inlineStr">
        <is>
          <t>PD SOL Source</t>
        </is>
      </c>
      <c r="D151" t="inlineStr">
        <is>
          <t>Yes</t>
        </is>
      </c>
      <c r="E151" t="inlineStr">
        <is>
          <t>Yes</t>
        </is>
      </c>
      <c r="F151" s="501" t="inlineStr">
        <is>
          <t>Pass</t>
        </is>
      </c>
      <c r="G151" t="inlineStr"/>
    </row>
    <row r="152">
      <c r="A152" t="inlineStr">
        <is>
          <t>Minimum Requirements</t>
        </is>
      </c>
      <c r="B152" t="inlineStr">
        <is>
          <t>Montana</t>
        </is>
      </c>
      <c r="C152" t="inlineStr">
        <is>
          <t>BI Source</t>
        </is>
      </c>
      <c r="D152" t="inlineStr">
        <is>
          <t>Yes</t>
        </is>
      </c>
      <c r="E152" t="inlineStr">
        <is>
          <t>Yes</t>
        </is>
      </c>
      <c r="F152" s="501" t="inlineStr">
        <is>
          <t>Pass</t>
        </is>
      </c>
      <c r="G152" t="inlineStr"/>
    </row>
    <row r="153">
      <c r="A153" t="inlineStr">
        <is>
          <t>Minimum Requirements</t>
        </is>
      </c>
      <c r="B153" t="inlineStr">
        <is>
          <t>Montana</t>
        </is>
      </c>
      <c r="C153" t="inlineStr">
        <is>
          <t>PD Source</t>
        </is>
      </c>
      <c r="D153" t="inlineStr">
        <is>
          <t>Yes</t>
        </is>
      </c>
      <c r="E153" t="inlineStr">
        <is>
          <t>Yes</t>
        </is>
      </c>
      <c r="F153" s="501" t="inlineStr">
        <is>
          <t>Pass</t>
        </is>
      </c>
      <c r="G153" t="inlineStr"/>
    </row>
    <row r="154">
      <c r="A154" t="inlineStr">
        <is>
          <t>Minimum Requirements</t>
        </is>
      </c>
      <c r="B154" t="inlineStr">
        <is>
          <t>Montana</t>
        </is>
      </c>
      <c r="C154" t="inlineStr">
        <is>
          <t>PIP Source</t>
        </is>
      </c>
      <c r="D154" t="inlineStr">
        <is>
          <t>Yes</t>
        </is>
      </c>
      <c r="E154" t="inlineStr">
        <is>
          <t>Yes</t>
        </is>
      </c>
      <c r="F154" s="501" t="inlineStr">
        <is>
          <t>Pass</t>
        </is>
      </c>
      <c r="G154" t="inlineStr"/>
    </row>
    <row r="155">
      <c r="A155" t="inlineStr">
        <is>
          <t>Minimum Requirements</t>
        </is>
      </c>
      <c r="B155" t="inlineStr">
        <is>
          <t>Montana</t>
        </is>
      </c>
      <c r="C155" t="inlineStr">
        <is>
          <t>UM/UIM Source</t>
        </is>
      </c>
      <c r="D155" t="inlineStr">
        <is>
          <t>Yes</t>
        </is>
      </c>
      <c r="E155" t="inlineStr">
        <is>
          <t>Yes</t>
        </is>
      </c>
      <c r="F155" s="501" t="inlineStr">
        <is>
          <t>Pass</t>
        </is>
      </c>
      <c r="G155" t="inlineStr"/>
    </row>
    <row r="156">
      <c r="A156" t="inlineStr">
        <is>
          <t>Minimum Requirements</t>
        </is>
      </c>
      <c r="B156" t="inlineStr">
        <is>
          <t>Montana</t>
        </is>
      </c>
      <c r="C156" t="inlineStr">
        <is>
          <t>BI SOL Source</t>
        </is>
      </c>
      <c r="D156" t="inlineStr">
        <is>
          <t>Yes</t>
        </is>
      </c>
      <c r="E156" t="inlineStr">
        <is>
          <t>Yes</t>
        </is>
      </c>
      <c r="F156" s="501" t="inlineStr">
        <is>
          <t>Pass</t>
        </is>
      </c>
      <c r="G156" t="inlineStr"/>
    </row>
    <row r="157">
      <c r="A157" t="inlineStr">
        <is>
          <t>Minimum Requirements</t>
        </is>
      </c>
      <c r="B157" t="inlineStr">
        <is>
          <t>Montana</t>
        </is>
      </c>
      <c r="C157" t="inlineStr">
        <is>
          <t>PD SOL Source</t>
        </is>
      </c>
      <c r="D157" t="inlineStr">
        <is>
          <t>Yes</t>
        </is>
      </c>
      <c r="E157" t="inlineStr">
        <is>
          <t>Yes</t>
        </is>
      </c>
      <c r="F157" s="501" t="inlineStr">
        <is>
          <t>Pass</t>
        </is>
      </c>
      <c r="G157" t="inlineStr"/>
    </row>
    <row r="158">
      <c r="A158" t="inlineStr">
        <is>
          <t>Minimum Requirements</t>
        </is>
      </c>
      <c r="B158" t="inlineStr">
        <is>
          <t>Nebraska</t>
        </is>
      </c>
      <c r="C158" t="inlineStr">
        <is>
          <t>BI Source</t>
        </is>
      </c>
      <c r="D158" t="inlineStr">
        <is>
          <t>Yes</t>
        </is>
      </c>
      <c r="E158" t="inlineStr">
        <is>
          <t>Yes</t>
        </is>
      </c>
      <c r="F158" s="501" t="inlineStr">
        <is>
          <t>Pass</t>
        </is>
      </c>
      <c r="G158" t="inlineStr"/>
    </row>
    <row r="159">
      <c r="A159" t="inlineStr">
        <is>
          <t>Minimum Requirements</t>
        </is>
      </c>
      <c r="B159" t="inlineStr">
        <is>
          <t>Nebraska</t>
        </is>
      </c>
      <c r="C159" t="inlineStr">
        <is>
          <t>PD Source</t>
        </is>
      </c>
      <c r="D159" t="inlineStr">
        <is>
          <t>Yes</t>
        </is>
      </c>
      <c r="E159" t="inlineStr">
        <is>
          <t>Yes</t>
        </is>
      </c>
      <c r="F159" s="501" t="inlineStr">
        <is>
          <t>Pass</t>
        </is>
      </c>
      <c r="G159" t="inlineStr"/>
    </row>
    <row r="160">
      <c r="A160" t="inlineStr">
        <is>
          <t>Minimum Requirements</t>
        </is>
      </c>
      <c r="B160" t="inlineStr">
        <is>
          <t>Nebraska</t>
        </is>
      </c>
      <c r="C160" t="inlineStr">
        <is>
          <t>PIP Source</t>
        </is>
      </c>
      <c r="D160" t="inlineStr">
        <is>
          <t>Yes</t>
        </is>
      </c>
      <c r="E160" t="inlineStr">
        <is>
          <t>Yes</t>
        </is>
      </c>
      <c r="F160" s="501" t="inlineStr">
        <is>
          <t>Pass</t>
        </is>
      </c>
      <c r="G160" t="inlineStr"/>
    </row>
    <row r="161">
      <c r="A161" t="inlineStr">
        <is>
          <t>Minimum Requirements</t>
        </is>
      </c>
      <c r="B161" t="inlineStr">
        <is>
          <t>Nebraska</t>
        </is>
      </c>
      <c r="C161" t="inlineStr">
        <is>
          <t>UM/UIM Source</t>
        </is>
      </c>
      <c r="D161" t="inlineStr">
        <is>
          <t>Yes</t>
        </is>
      </c>
      <c r="E161" t="inlineStr">
        <is>
          <t>Yes</t>
        </is>
      </c>
      <c r="F161" s="501" t="inlineStr">
        <is>
          <t>Pass</t>
        </is>
      </c>
      <c r="G161" t="inlineStr"/>
    </row>
    <row r="162">
      <c r="A162" t="inlineStr">
        <is>
          <t>Minimum Requirements</t>
        </is>
      </c>
      <c r="B162" t="inlineStr">
        <is>
          <t>Nebraska</t>
        </is>
      </c>
      <c r="C162" t="inlineStr">
        <is>
          <t>BI SOL Source</t>
        </is>
      </c>
      <c r="D162" t="inlineStr">
        <is>
          <t>Yes</t>
        </is>
      </c>
      <c r="E162" t="inlineStr">
        <is>
          <t>Yes</t>
        </is>
      </c>
      <c r="F162" s="501" t="inlineStr">
        <is>
          <t>Pass</t>
        </is>
      </c>
      <c r="G162" t="inlineStr"/>
    </row>
    <row r="163">
      <c r="A163" t="inlineStr">
        <is>
          <t>Minimum Requirements</t>
        </is>
      </c>
      <c r="B163" t="inlineStr">
        <is>
          <t>Nebraska</t>
        </is>
      </c>
      <c r="C163" t="inlineStr">
        <is>
          <t>PD SOL Source</t>
        </is>
      </c>
      <c r="D163" t="inlineStr">
        <is>
          <t>Yes</t>
        </is>
      </c>
      <c r="E163" t="inlineStr">
        <is>
          <t>Yes</t>
        </is>
      </c>
      <c r="F163" s="501" t="inlineStr">
        <is>
          <t>Pass</t>
        </is>
      </c>
      <c r="G163" t="inlineStr"/>
    </row>
    <row r="164">
      <c r="A164" t="inlineStr">
        <is>
          <t>Minimum Requirements</t>
        </is>
      </c>
      <c r="B164" t="inlineStr">
        <is>
          <t>Nevada</t>
        </is>
      </c>
      <c r="C164" t="inlineStr">
        <is>
          <t>BI Source</t>
        </is>
      </c>
      <c r="D164" t="inlineStr">
        <is>
          <t>Yes</t>
        </is>
      </c>
      <c r="E164" t="inlineStr">
        <is>
          <t>Yes</t>
        </is>
      </c>
      <c r="F164" s="501" t="inlineStr">
        <is>
          <t>Pass</t>
        </is>
      </c>
      <c r="G164" t="inlineStr"/>
    </row>
    <row r="165">
      <c r="A165" t="inlineStr">
        <is>
          <t>Minimum Requirements</t>
        </is>
      </c>
      <c r="B165" t="inlineStr">
        <is>
          <t>Nevada</t>
        </is>
      </c>
      <c r="C165" t="inlineStr">
        <is>
          <t>PD Source</t>
        </is>
      </c>
      <c r="D165" t="inlineStr">
        <is>
          <t>Yes</t>
        </is>
      </c>
      <c r="E165" t="inlineStr">
        <is>
          <t>Yes</t>
        </is>
      </c>
      <c r="F165" s="501" t="inlineStr">
        <is>
          <t>Pass</t>
        </is>
      </c>
      <c r="G165" t="inlineStr"/>
    </row>
    <row r="166">
      <c r="A166" t="inlineStr">
        <is>
          <t>Minimum Requirements</t>
        </is>
      </c>
      <c r="B166" t="inlineStr">
        <is>
          <t>Nevada</t>
        </is>
      </c>
      <c r="C166" t="inlineStr">
        <is>
          <t>PIP Source</t>
        </is>
      </c>
      <c r="D166" t="inlineStr">
        <is>
          <t>Yes</t>
        </is>
      </c>
      <c r="E166" t="inlineStr">
        <is>
          <t>Yes</t>
        </is>
      </c>
      <c r="F166" s="501" t="inlineStr">
        <is>
          <t>Pass</t>
        </is>
      </c>
      <c r="G166" t="inlineStr"/>
    </row>
    <row r="167">
      <c r="A167" t="inlineStr">
        <is>
          <t>Minimum Requirements</t>
        </is>
      </c>
      <c r="B167" t="inlineStr">
        <is>
          <t>Nevada</t>
        </is>
      </c>
      <c r="C167" t="inlineStr">
        <is>
          <t>UM/UIM Source</t>
        </is>
      </c>
      <c r="D167" t="inlineStr">
        <is>
          <t>Yes</t>
        </is>
      </c>
      <c r="E167" t="inlineStr">
        <is>
          <t>Yes</t>
        </is>
      </c>
      <c r="F167" s="501" t="inlineStr">
        <is>
          <t>Pass</t>
        </is>
      </c>
      <c r="G167" t="inlineStr"/>
    </row>
    <row r="168">
      <c r="A168" t="inlineStr">
        <is>
          <t>Minimum Requirements</t>
        </is>
      </c>
      <c r="B168" t="inlineStr">
        <is>
          <t>Nevada</t>
        </is>
      </c>
      <c r="C168" t="inlineStr">
        <is>
          <t>BI SOL Source</t>
        </is>
      </c>
      <c r="D168" t="inlineStr">
        <is>
          <t>Yes</t>
        </is>
      </c>
      <c r="E168" t="inlineStr">
        <is>
          <t>Yes</t>
        </is>
      </c>
      <c r="F168" s="501" t="inlineStr">
        <is>
          <t>Pass</t>
        </is>
      </c>
      <c r="G168" t="inlineStr"/>
    </row>
    <row r="169">
      <c r="A169" t="inlineStr">
        <is>
          <t>Minimum Requirements</t>
        </is>
      </c>
      <c r="B169" t="inlineStr">
        <is>
          <t>Nevada</t>
        </is>
      </c>
      <c r="C169" t="inlineStr">
        <is>
          <t>PD SOL Source</t>
        </is>
      </c>
      <c r="D169" t="inlineStr">
        <is>
          <t>Yes</t>
        </is>
      </c>
      <c r="E169" t="inlineStr">
        <is>
          <t>Yes</t>
        </is>
      </c>
      <c r="F169" s="501" t="inlineStr">
        <is>
          <t>Pass</t>
        </is>
      </c>
      <c r="G169" t="inlineStr"/>
    </row>
    <row r="170">
      <c r="A170" t="inlineStr">
        <is>
          <t>Minimum Requirements</t>
        </is>
      </c>
      <c r="B170" t="inlineStr">
        <is>
          <t>New Hampshire</t>
        </is>
      </c>
      <c r="C170" t="inlineStr">
        <is>
          <t>BI Source</t>
        </is>
      </c>
      <c r="D170" t="inlineStr">
        <is>
          <t>Yes</t>
        </is>
      </c>
      <c r="E170" t="inlineStr">
        <is>
          <t>Yes</t>
        </is>
      </c>
      <c r="F170" s="501" t="inlineStr">
        <is>
          <t>Pass</t>
        </is>
      </c>
      <c r="G170" t="inlineStr"/>
    </row>
    <row r="171">
      <c r="A171" t="inlineStr">
        <is>
          <t>Minimum Requirements</t>
        </is>
      </c>
      <c r="B171" t="inlineStr">
        <is>
          <t>New Hampshire</t>
        </is>
      </c>
      <c r="C171" t="inlineStr">
        <is>
          <t>PD Source</t>
        </is>
      </c>
      <c r="D171" t="inlineStr">
        <is>
          <t>Yes</t>
        </is>
      </c>
      <c r="E171" t="inlineStr">
        <is>
          <t>Yes</t>
        </is>
      </c>
      <c r="F171" s="501" t="inlineStr">
        <is>
          <t>Pass</t>
        </is>
      </c>
      <c r="G171" t="inlineStr"/>
    </row>
    <row r="172">
      <c r="A172" t="inlineStr">
        <is>
          <t>Minimum Requirements</t>
        </is>
      </c>
      <c r="B172" t="inlineStr">
        <is>
          <t>New Hampshire</t>
        </is>
      </c>
      <c r="C172" t="inlineStr">
        <is>
          <t>PIP Source</t>
        </is>
      </c>
      <c r="D172" t="inlineStr">
        <is>
          <t>Yes</t>
        </is>
      </c>
      <c r="E172" t="inlineStr">
        <is>
          <t>Yes</t>
        </is>
      </c>
      <c r="F172" s="501" t="inlineStr">
        <is>
          <t>Pass</t>
        </is>
      </c>
      <c r="G172" t="inlineStr"/>
    </row>
    <row r="173">
      <c r="A173" t="inlineStr">
        <is>
          <t>Minimum Requirements</t>
        </is>
      </c>
      <c r="B173" t="inlineStr">
        <is>
          <t>New Hampshire</t>
        </is>
      </c>
      <c r="C173" t="inlineStr">
        <is>
          <t>UM/UIM Source</t>
        </is>
      </c>
      <c r="D173" t="inlineStr">
        <is>
          <t>Yes</t>
        </is>
      </c>
      <c r="E173" t="inlineStr">
        <is>
          <t>Yes</t>
        </is>
      </c>
      <c r="F173" s="501" t="inlineStr">
        <is>
          <t>Pass</t>
        </is>
      </c>
      <c r="G173" t="inlineStr"/>
    </row>
    <row r="174">
      <c r="A174" t="inlineStr">
        <is>
          <t>Minimum Requirements</t>
        </is>
      </c>
      <c r="B174" t="inlineStr">
        <is>
          <t>New Hampshire</t>
        </is>
      </c>
      <c r="C174" t="inlineStr">
        <is>
          <t>BI SOL Source</t>
        </is>
      </c>
      <c r="D174" t="inlineStr">
        <is>
          <t>Yes</t>
        </is>
      </c>
      <c r="E174" t="inlineStr">
        <is>
          <t>Yes</t>
        </is>
      </c>
      <c r="F174" s="501" t="inlineStr">
        <is>
          <t>Pass</t>
        </is>
      </c>
      <c r="G174" t="inlineStr"/>
    </row>
    <row r="175">
      <c r="A175" t="inlineStr">
        <is>
          <t>Minimum Requirements</t>
        </is>
      </c>
      <c r="B175" t="inlineStr">
        <is>
          <t>New Hampshire</t>
        </is>
      </c>
      <c r="C175" t="inlineStr">
        <is>
          <t>PD SOL Source</t>
        </is>
      </c>
      <c r="D175" t="inlineStr">
        <is>
          <t>Yes</t>
        </is>
      </c>
      <c r="E175" t="inlineStr">
        <is>
          <t>Yes</t>
        </is>
      </c>
      <c r="F175" s="501" t="inlineStr">
        <is>
          <t>Pass</t>
        </is>
      </c>
      <c r="G175" t="inlineStr"/>
    </row>
    <row r="176">
      <c r="A176" t="inlineStr">
        <is>
          <t>Minimum Requirements</t>
        </is>
      </c>
      <c r="B176" t="inlineStr">
        <is>
          <t>New Jersey</t>
        </is>
      </c>
      <c r="C176" t="inlineStr">
        <is>
          <t>BI Source</t>
        </is>
      </c>
      <c r="D176" t="inlineStr">
        <is>
          <t>Yes</t>
        </is>
      </c>
      <c r="E176" t="inlineStr">
        <is>
          <t>Yes</t>
        </is>
      </c>
      <c r="F176" s="501" t="inlineStr">
        <is>
          <t>Pass</t>
        </is>
      </c>
      <c r="G176" t="inlineStr"/>
    </row>
    <row r="177">
      <c r="A177" t="inlineStr">
        <is>
          <t>Minimum Requirements</t>
        </is>
      </c>
      <c r="B177" t="inlineStr">
        <is>
          <t>New Jersey</t>
        </is>
      </c>
      <c r="C177" t="inlineStr">
        <is>
          <t>PD Source</t>
        </is>
      </c>
      <c r="D177" t="inlineStr">
        <is>
          <t>Yes</t>
        </is>
      </c>
      <c r="E177" t="inlineStr">
        <is>
          <t>Yes</t>
        </is>
      </c>
      <c r="F177" s="501" t="inlineStr">
        <is>
          <t>Pass</t>
        </is>
      </c>
      <c r="G177" t="inlineStr"/>
    </row>
    <row r="178">
      <c r="A178" t="inlineStr">
        <is>
          <t>Minimum Requirements</t>
        </is>
      </c>
      <c r="B178" t="inlineStr">
        <is>
          <t>New Jersey</t>
        </is>
      </c>
      <c r="C178" t="inlineStr">
        <is>
          <t>PIP Source</t>
        </is>
      </c>
      <c r="D178" t="inlineStr">
        <is>
          <t>Yes</t>
        </is>
      </c>
      <c r="E178" t="inlineStr">
        <is>
          <t>Yes</t>
        </is>
      </c>
      <c r="F178" s="501" t="inlineStr">
        <is>
          <t>Pass</t>
        </is>
      </c>
      <c r="G178" t="inlineStr"/>
    </row>
    <row r="179">
      <c r="A179" t="inlineStr">
        <is>
          <t>Minimum Requirements</t>
        </is>
      </c>
      <c r="B179" t="inlineStr">
        <is>
          <t>New Jersey</t>
        </is>
      </c>
      <c r="C179" t="inlineStr">
        <is>
          <t>UM/UIM Source</t>
        </is>
      </c>
      <c r="D179" t="inlineStr">
        <is>
          <t>Yes</t>
        </is>
      </c>
      <c r="E179" t="inlineStr">
        <is>
          <t>Yes</t>
        </is>
      </c>
      <c r="F179" s="501" t="inlineStr">
        <is>
          <t>Pass</t>
        </is>
      </c>
      <c r="G179" t="inlineStr"/>
    </row>
    <row r="180">
      <c r="A180" t="inlineStr">
        <is>
          <t>Minimum Requirements</t>
        </is>
      </c>
      <c r="B180" t="inlineStr">
        <is>
          <t>New Jersey</t>
        </is>
      </c>
      <c r="C180" t="inlineStr">
        <is>
          <t>BI SOL Source</t>
        </is>
      </c>
      <c r="D180" t="inlineStr">
        <is>
          <t>Yes</t>
        </is>
      </c>
      <c r="E180" t="inlineStr">
        <is>
          <t>Yes</t>
        </is>
      </c>
      <c r="F180" s="501" t="inlineStr">
        <is>
          <t>Pass</t>
        </is>
      </c>
      <c r="G180" t="inlineStr"/>
    </row>
    <row r="181">
      <c r="A181" t="inlineStr">
        <is>
          <t>Minimum Requirements</t>
        </is>
      </c>
      <c r="B181" t="inlineStr">
        <is>
          <t>New Jersey</t>
        </is>
      </c>
      <c r="C181" t="inlineStr">
        <is>
          <t>PD SOL Source</t>
        </is>
      </c>
      <c r="D181" t="inlineStr">
        <is>
          <t>Yes</t>
        </is>
      </c>
      <c r="E181" t="inlineStr">
        <is>
          <t>Yes</t>
        </is>
      </c>
      <c r="F181" s="501" t="inlineStr">
        <is>
          <t>Pass</t>
        </is>
      </c>
      <c r="G181" t="inlineStr"/>
    </row>
    <row r="182">
      <c r="A182" t="inlineStr">
        <is>
          <t>Minimum Requirements</t>
        </is>
      </c>
      <c r="B182" t="inlineStr">
        <is>
          <t>New Mexico</t>
        </is>
      </c>
      <c r="C182" t="inlineStr">
        <is>
          <t>BI Source</t>
        </is>
      </c>
      <c r="D182" t="inlineStr">
        <is>
          <t>Yes</t>
        </is>
      </c>
      <c r="E182" t="inlineStr">
        <is>
          <t>Yes</t>
        </is>
      </c>
      <c r="F182" s="501" t="inlineStr">
        <is>
          <t>Pass</t>
        </is>
      </c>
      <c r="G182" t="inlineStr"/>
    </row>
    <row r="183">
      <c r="A183" t="inlineStr">
        <is>
          <t>Minimum Requirements</t>
        </is>
      </c>
      <c r="B183" t="inlineStr">
        <is>
          <t>New Mexico</t>
        </is>
      </c>
      <c r="C183" t="inlineStr">
        <is>
          <t>PD Source</t>
        </is>
      </c>
      <c r="D183" t="inlineStr">
        <is>
          <t>Yes</t>
        </is>
      </c>
      <c r="E183" t="inlineStr">
        <is>
          <t>Yes</t>
        </is>
      </c>
      <c r="F183" s="501" t="inlineStr">
        <is>
          <t>Pass</t>
        </is>
      </c>
      <c r="G183" t="inlineStr"/>
    </row>
    <row r="184">
      <c r="A184" t="inlineStr">
        <is>
          <t>Minimum Requirements</t>
        </is>
      </c>
      <c r="B184" t="inlineStr">
        <is>
          <t>New Mexico</t>
        </is>
      </c>
      <c r="C184" t="inlineStr">
        <is>
          <t>PIP Source</t>
        </is>
      </c>
      <c r="D184" t="inlineStr">
        <is>
          <t>Yes</t>
        </is>
      </c>
      <c r="E184" t="inlineStr">
        <is>
          <t>Yes</t>
        </is>
      </c>
      <c r="F184" s="501" t="inlineStr">
        <is>
          <t>Pass</t>
        </is>
      </c>
      <c r="G184" t="inlineStr"/>
    </row>
    <row r="185">
      <c r="A185" t="inlineStr">
        <is>
          <t>Minimum Requirements</t>
        </is>
      </c>
      <c r="B185" t="inlineStr">
        <is>
          <t>New Mexico</t>
        </is>
      </c>
      <c r="C185" t="inlineStr">
        <is>
          <t>UM/UIM Source</t>
        </is>
      </c>
      <c r="D185" t="inlineStr">
        <is>
          <t>Yes</t>
        </is>
      </c>
      <c r="E185" t="inlineStr">
        <is>
          <t>Yes</t>
        </is>
      </c>
      <c r="F185" s="501" t="inlineStr">
        <is>
          <t>Pass</t>
        </is>
      </c>
      <c r="G185" t="inlineStr"/>
    </row>
    <row r="186">
      <c r="A186" t="inlineStr">
        <is>
          <t>Minimum Requirements</t>
        </is>
      </c>
      <c r="B186" t="inlineStr">
        <is>
          <t>New Mexico</t>
        </is>
      </c>
      <c r="C186" t="inlineStr">
        <is>
          <t>BI SOL Source</t>
        </is>
      </c>
      <c r="D186" t="inlineStr">
        <is>
          <t>Yes</t>
        </is>
      </c>
      <c r="E186" t="inlineStr">
        <is>
          <t>Yes</t>
        </is>
      </c>
      <c r="F186" s="501" t="inlineStr">
        <is>
          <t>Pass</t>
        </is>
      </c>
      <c r="G186" t="inlineStr"/>
    </row>
    <row r="187">
      <c r="A187" t="inlineStr">
        <is>
          <t>Minimum Requirements</t>
        </is>
      </c>
      <c r="B187" t="inlineStr">
        <is>
          <t>New Mexico</t>
        </is>
      </c>
      <c r="C187" t="inlineStr">
        <is>
          <t>PD SOL Source</t>
        </is>
      </c>
      <c r="D187" t="inlineStr">
        <is>
          <t>Yes</t>
        </is>
      </c>
      <c r="E187" t="inlineStr">
        <is>
          <t>Yes</t>
        </is>
      </c>
      <c r="F187" s="501" t="inlineStr">
        <is>
          <t>Pass</t>
        </is>
      </c>
      <c r="G187" t="inlineStr"/>
    </row>
    <row r="188">
      <c r="A188" t="inlineStr">
        <is>
          <t>Minimum Requirements</t>
        </is>
      </c>
      <c r="B188" t="inlineStr">
        <is>
          <t>New York</t>
        </is>
      </c>
      <c r="C188" t="inlineStr">
        <is>
          <t>BI Source</t>
        </is>
      </c>
      <c r="D188" t="inlineStr">
        <is>
          <t>Yes</t>
        </is>
      </c>
      <c r="E188" t="inlineStr">
        <is>
          <t>Yes</t>
        </is>
      </c>
      <c r="F188" s="501" t="inlineStr">
        <is>
          <t>Pass</t>
        </is>
      </c>
      <c r="G188" t="inlineStr"/>
    </row>
    <row r="189">
      <c r="A189" t="inlineStr">
        <is>
          <t>Minimum Requirements</t>
        </is>
      </c>
      <c r="B189" t="inlineStr">
        <is>
          <t>New York</t>
        </is>
      </c>
      <c r="C189" t="inlineStr">
        <is>
          <t>PD Source</t>
        </is>
      </c>
      <c r="D189" t="inlineStr">
        <is>
          <t>Yes</t>
        </is>
      </c>
      <c r="E189" t="inlineStr">
        <is>
          <t>Yes</t>
        </is>
      </c>
      <c r="F189" s="501" t="inlineStr">
        <is>
          <t>Pass</t>
        </is>
      </c>
      <c r="G189" t="inlineStr"/>
    </row>
    <row r="190">
      <c r="A190" t="inlineStr">
        <is>
          <t>Minimum Requirements</t>
        </is>
      </c>
      <c r="B190" t="inlineStr">
        <is>
          <t>New York</t>
        </is>
      </c>
      <c r="C190" t="inlineStr">
        <is>
          <t>PIP Source</t>
        </is>
      </c>
      <c r="D190" t="inlineStr">
        <is>
          <t>Yes</t>
        </is>
      </c>
      <c r="E190" t="inlineStr">
        <is>
          <t>Yes</t>
        </is>
      </c>
      <c r="F190" s="501" t="inlineStr">
        <is>
          <t>Pass</t>
        </is>
      </c>
      <c r="G190" t="inlineStr"/>
    </row>
    <row r="191">
      <c r="A191" t="inlineStr">
        <is>
          <t>Minimum Requirements</t>
        </is>
      </c>
      <c r="B191" t="inlineStr">
        <is>
          <t>New York</t>
        </is>
      </c>
      <c r="C191" t="inlineStr">
        <is>
          <t>UM/UIM Source</t>
        </is>
      </c>
      <c r="D191" t="inlineStr">
        <is>
          <t>Yes</t>
        </is>
      </c>
      <c r="E191" t="inlineStr">
        <is>
          <t>Yes</t>
        </is>
      </c>
      <c r="F191" s="501" t="inlineStr">
        <is>
          <t>Pass</t>
        </is>
      </c>
      <c r="G191" t="inlineStr"/>
    </row>
    <row r="192">
      <c r="A192" t="inlineStr">
        <is>
          <t>Minimum Requirements</t>
        </is>
      </c>
      <c r="B192" t="inlineStr">
        <is>
          <t>New York</t>
        </is>
      </c>
      <c r="C192" t="inlineStr">
        <is>
          <t>BI SOL Source</t>
        </is>
      </c>
      <c r="D192" t="inlineStr">
        <is>
          <t>Yes</t>
        </is>
      </c>
      <c r="E192" t="inlineStr">
        <is>
          <t>Yes</t>
        </is>
      </c>
      <c r="F192" s="501" t="inlineStr">
        <is>
          <t>Pass</t>
        </is>
      </c>
      <c r="G192" t="inlineStr"/>
    </row>
    <row r="193">
      <c r="A193" t="inlineStr">
        <is>
          <t>Minimum Requirements</t>
        </is>
      </c>
      <c r="B193" t="inlineStr">
        <is>
          <t>New York</t>
        </is>
      </c>
      <c r="C193" t="inlineStr">
        <is>
          <t>PD SOL Source</t>
        </is>
      </c>
      <c r="D193" t="inlineStr">
        <is>
          <t>Yes</t>
        </is>
      </c>
      <c r="E193" t="inlineStr">
        <is>
          <t>Yes</t>
        </is>
      </c>
      <c r="F193" s="501" t="inlineStr">
        <is>
          <t>Pass</t>
        </is>
      </c>
      <c r="G193" t="inlineStr"/>
    </row>
    <row r="194">
      <c r="A194" t="inlineStr">
        <is>
          <t>Minimum Requirements</t>
        </is>
      </c>
      <c r="B194" t="inlineStr">
        <is>
          <t>North Carolina</t>
        </is>
      </c>
      <c r="C194" t="inlineStr">
        <is>
          <t>BI Source</t>
        </is>
      </c>
      <c r="D194" t="inlineStr">
        <is>
          <t>Yes</t>
        </is>
      </c>
      <c r="E194" t="inlineStr">
        <is>
          <t>Yes</t>
        </is>
      </c>
      <c r="F194" s="501" t="inlineStr">
        <is>
          <t>Pass</t>
        </is>
      </c>
      <c r="G194" t="inlineStr"/>
    </row>
    <row r="195">
      <c r="A195" t="inlineStr">
        <is>
          <t>Minimum Requirements</t>
        </is>
      </c>
      <c r="B195" t="inlineStr">
        <is>
          <t>North Carolina</t>
        </is>
      </c>
      <c r="C195" t="inlineStr">
        <is>
          <t>PD Source</t>
        </is>
      </c>
      <c r="D195" t="inlineStr">
        <is>
          <t>Yes</t>
        </is>
      </c>
      <c r="E195" t="inlineStr">
        <is>
          <t>Yes</t>
        </is>
      </c>
      <c r="F195" s="501" t="inlineStr">
        <is>
          <t>Pass</t>
        </is>
      </c>
      <c r="G195" t="inlineStr"/>
    </row>
    <row r="196">
      <c r="A196" t="inlineStr">
        <is>
          <t>Minimum Requirements</t>
        </is>
      </c>
      <c r="B196" t="inlineStr">
        <is>
          <t>North Carolina</t>
        </is>
      </c>
      <c r="C196" t="inlineStr">
        <is>
          <t>PIP Source</t>
        </is>
      </c>
      <c r="D196" t="inlineStr">
        <is>
          <t>Yes</t>
        </is>
      </c>
      <c r="E196" t="inlineStr">
        <is>
          <t>Yes</t>
        </is>
      </c>
      <c r="F196" s="501" t="inlineStr">
        <is>
          <t>Pass</t>
        </is>
      </c>
      <c r="G196" t="inlineStr"/>
    </row>
    <row r="197">
      <c r="A197" t="inlineStr">
        <is>
          <t>Minimum Requirements</t>
        </is>
      </c>
      <c r="B197" t="inlineStr">
        <is>
          <t>North Carolina</t>
        </is>
      </c>
      <c r="C197" t="inlineStr">
        <is>
          <t>UM/UIM Source</t>
        </is>
      </c>
      <c r="D197" t="inlineStr">
        <is>
          <t>Yes</t>
        </is>
      </c>
      <c r="E197" t="inlineStr">
        <is>
          <t>Yes</t>
        </is>
      </c>
      <c r="F197" s="501" t="inlineStr">
        <is>
          <t>Pass</t>
        </is>
      </c>
      <c r="G197" t="inlineStr"/>
    </row>
    <row r="198">
      <c r="A198" t="inlineStr">
        <is>
          <t>Minimum Requirements</t>
        </is>
      </c>
      <c r="B198" t="inlineStr">
        <is>
          <t>North Carolina</t>
        </is>
      </c>
      <c r="C198" t="inlineStr">
        <is>
          <t>BI SOL Source</t>
        </is>
      </c>
      <c r="D198" t="inlineStr">
        <is>
          <t>Yes</t>
        </is>
      </c>
      <c r="E198" t="inlineStr">
        <is>
          <t>Yes</t>
        </is>
      </c>
      <c r="F198" s="501" t="inlineStr">
        <is>
          <t>Pass</t>
        </is>
      </c>
      <c r="G198" t="inlineStr"/>
    </row>
    <row r="199">
      <c r="A199" t="inlineStr">
        <is>
          <t>Minimum Requirements</t>
        </is>
      </c>
      <c r="B199" t="inlineStr">
        <is>
          <t>North Carolina</t>
        </is>
      </c>
      <c r="C199" t="inlineStr">
        <is>
          <t>PD SOL Source</t>
        </is>
      </c>
      <c r="D199" t="inlineStr">
        <is>
          <t>Yes</t>
        </is>
      </c>
      <c r="E199" t="inlineStr">
        <is>
          <t>Yes</t>
        </is>
      </c>
      <c r="F199" s="501" t="inlineStr">
        <is>
          <t>Pass</t>
        </is>
      </c>
      <c r="G199" t="inlineStr"/>
    </row>
    <row r="200">
      <c r="A200" t="inlineStr">
        <is>
          <t>Minimum Requirements</t>
        </is>
      </c>
      <c r="B200" t="inlineStr">
        <is>
          <t>North Dakota</t>
        </is>
      </c>
      <c r="C200" t="inlineStr">
        <is>
          <t>BI Source</t>
        </is>
      </c>
      <c r="D200" t="inlineStr">
        <is>
          <t>Yes</t>
        </is>
      </c>
      <c r="E200" t="inlineStr">
        <is>
          <t>Yes</t>
        </is>
      </c>
      <c r="F200" s="501" t="inlineStr">
        <is>
          <t>Pass</t>
        </is>
      </c>
      <c r="G200" t="inlineStr"/>
    </row>
    <row r="201">
      <c r="A201" t="inlineStr">
        <is>
          <t>Minimum Requirements</t>
        </is>
      </c>
      <c r="B201" t="inlineStr">
        <is>
          <t>North Dakota</t>
        </is>
      </c>
      <c r="C201" t="inlineStr">
        <is>
          <t>PD Source</t>
        </is>
      </c>
      <c r="D201" t="inlineStr">
        <is>
          <t>Yes</t>
        </is>
      </c>
      <c r="E201" t="inlineStr">
        <is>
          <t>Yes</t>
        </is>
      </c>
      <c r="F201" s="501" t="inlineStr">
        <is>
          <t>Pass</t>
        </is>
      </c>
      <c r="G201" t="inlineStr"/>
    </row>
    <row r="202">
      <c r="A202" t="inlineStr">
        <is>
          <t>Minimum Requirements</t>
        </is>
      </c>
      <c r="B202" t="inlineStr">
        <is>
          <t>North Dakota</t>
        </is>
      </c>
      <c r="C202" t="inlineStr">
        <is>
          <t>PIP Source</t>
        </is>
      </c>
      <c r="D202" t="inlineStr">
        <is>
          <t>Yes</t>
        </is>
      </c>
      <c r="E202" t="inlineStr">
        <is>
          <t>Yes</t>
        </is>
      </c>
      <c r="F202" s="501" t="inlineStr">
        <is>
          <t>Pass</t>
        </is>
      </c>
      <c r="G202" t="inlineStr"/>
    </row>
    <row r="203">
      <c r="A203" t="inlineStr">
        <is>
          <t>Minimum Requirements</t>
        </is>
      </c>
      <c r="B203" t="inlineStr">
        <is>
          <t>North Dakota</t>
        </is>
      </c>
      <c r="C203" t="inlineStr">
        <is>
          <t>UM/UIM Source</t>
        </is>
      </c>
      <c r="D203" t="inlineStr">
        <is>
          <t>Yes</t>
        </is>
      </c>
      <c r="E203" t="inlineStr">
        <is>
          <t>Yes</t>
        </is>
      </c>
      <c r="F203" s="501" t="inlineStr">
        <is>
          <t>Pass</t>
        </is>
      </c>
      <c r="G203" t="inlineStr"/>
    </row>
    <row r="204">
      <c r="A204" t="inlineStr">
        <is>
          <t>Minimum Requirements</t>
        </is>
      </c>
      <c r="B204" t="inlineStr">
        <is>
          <t>North Dakota</t>
        </is>
      </c>
      <c r="C204" t="inlineStr">
        <is>
          <t>BI SOL Source</t>
        </is>
      </c>
      <c r="D204" t="inlineStr">
        <is>
          <t>Yes</t>
        </is>
      </c>
      <c r="E204" t="inlineStr">
        <is>
          <t>Yes</t>
        </is>
      </c>
      <c r="F204" s="501" t="inlineStr">
        <is>
          <t>Pass</t>
        </is>
      </c>
      <c r="G204" t="inlineStr"/>
    </row>
    <row r="205">
      <c r="A205" t="inlineStr">
        <is>
          <t>Minimum Requirements</t>
        </is>
      </c>
      <c r="B205" t="inlineStr">
        <is>
          <t>North Dakota</t>
        </is>
      </c>
      <c r="C205" t="inlineStr">
        <is>
          <t>PD SOL Source</t>
        </is>
      </c>
      <c r="D205" t="inlineStr">
        <is>
          <t>Yes</t>
        </is>
      </c>
      <c r="E205" t="inlineStr">
        <is>
          <t>Yes</t>
        </is>
      </c>
      <c r="F205" s="501" t="inlineStr">
        <is>
          <t>Pass</t>
        </is>
      </c>
      <c r="G205" t="inlineStr"/>
    </row>
    <row r="206">
      <c r="A206" t="inlineStr">
        <is>
          <t>Minimum Requirements</t>
        </is>
      </c>
      <c r="B206" t="inlineStr">
        <is>
          <t>Ohio</t>
        </is>
      </c>
      <c r="C206" t="inlineStr">
        <is>
          <t>BI Source</t>
        </is>
      </c>
      <c r="D206" t="inlineStr">
        <is>
          <t>Yes</t>
        </is>
      </c>
      <c r="E206" t="inlineStr">
        <is>
          <t>Yes</t>
        </is>
      </c>
      <c r="F206" s="501" t="inlineStr">
        <is>
          <t>Pass</t>
        </is>
      </c>
      <c r="G206" t="inlineStr"/>
    </row>
    <row r="207">
      <c r="A207" t="inlineStr">
        <is>
          <t>Minimum Requirements</t>
        </is>
      </c>
      <c r="B207" t="inlineStr">
        <is>
          <t>Ohio</t>
        </is>
      </c>
      <c r="C207" t="inlineStr">
        <is>
          <t>PD Source</t>
        </is>
      </c>
      <c r="D207" t="inlineStr">
        <is>
          <t>Yes</t>
        </is>
      </c>
      <c r="E207" t="inlineStr">
        <is>
          <t>Yes</t>
        </is>
      </c>
      <c r="F207" s="501" t="inlineStr">
        <is>
          <t>Pass</t>
        </is>
      </c>
      <c r="G207" t="inlineStr"/>
    </row>
    <row r="208">
      <c r="A208" t="inlineStr">
        <is>
          <t>Minimum Requirements</t>
        </is>
      </c>
      <c r="B208" t="inlineStr">
        <is>
          <t>Ohio</t>
        </is>
      </c>
      <c r="C208" t="inlineStr">
        <is>
          <t>PIP Source</t>
        </is>
      </c>
      <c r="D208" t="inlineStr">
        <is>
          <t>Yes</t>
        </is>
      </c>
      <c r="E208" t="inlineStr">
        <is>
          <t>Yes</t>
        </is>
      </c>
      <c r="F208" s="501" t="inlineStr">
        <is>
          <t>Pass</t>
        </is>
      </c>
      <c r="G208" t="inlineStr"/>
    </row>
    <row r="209">
      <c r="A209" t="inlineStr">
        <is>
          <t>Minimum Requirements</t>
        </is>
      </c>
      <c r="B209" t="inlineStr">
        <is>
          <t>Ohio</t>
        </is>
      </c>
      <c r="C209" t="inlineStr">
        <is>
          <t>UM/UIM Source</t>
        </is>
      </c>
      <c r="D209" t="inlineStr">
        <is>
          <t>Yes</t>
        </is>
      </c>
      <c r="E209" t="inlineStr">
        <is>
          <t>Yes</t>
        </is>
      </c>
      <c r="F209" s="501" t="inlineStr">
        <is>
          <t>Pass</t>
        </is>
      </c>
      <c r="G209" t="inlineStr"/>
    </row>
    <row r="210">
      <c r="A210" t="inlineStr">
        <is>
          <t>Minimum Requirements</t>
        </is>
      </c>
      <c r="B210" t="inlineStr">
        <is>
          <t>Ohio</t>
        </is>
      </c>
      <c r="C210" t="inlineStr">
        <is>
          <t>BI SOL Source</t>
        </is>
      </c>
      <c r="D210" t="inlineStr">
        <is>
          <t>Yes</t>
        </is>
      </c>
      <c r="E210" t="inlineStr">
        <is>
          <t>Yes</t>
        </is>
      </c>
      <c r="F210" s="501" t="inlineStr">
        <is>
          <t>Pass</t>
        </is>
      </c>
      <c r="G210" t="inlineStr"/>
    </row>
    <row r="211">
      <c r="A211" t="inlineStr">
        <is>
          <t>Minimum Requirements</t>
        </is>
      </c>
      <c r="B211" t="inlineStr">
        <is>
          <t>Ohio</t>
        </is>
      </c>
      <c r="C211" t="inlineStr">
        <is>
          <t>PD SOL Source</t>
        </is>
      </c>
      <c r="D211" t="inlineStr">
        <is>
          <t>Yes</t>
        </is>
      </c>
      <c r="E211" t="inlineStr">
        <is>
          <t>Yes</t>
        </is>
      </c>
      <c r="F211" s="501" t="inlineStr">
        <is>
          <t>Pass</t>
        </is>
      </c>
      <c r="G211" t="inlineStr"/>
    </row>
    <row r="212">
      <c r="A212" t="inlineStr">
        <is>
          <t>Minimum Requirements</t>
        </is>
      </c>
      <c r="B212" t="inlineStr">
        <is>
          <t>Oklahoma</t>
        </is>
      </c>
      <c r="C212" t="inlineStr">
        <is>
          <t>BI Source</t>
        </is>
      </c>
      <c r="D212" t="inlineStr">
        <is>
          <t>Yes</t>
        </is>
      </c>
      <c r="E212" t="inlineStr">
        <is>
          <t>Yes</t>
        </is>
      </c>
      <c r="F212" s="501" t="inlineStr">
        <is>
          <t>Pass</t>
        </is>
      </c>
      <c r="G212" t="inlineStr"/>
    </row>
    <row r="213">
      <c r="A213" t="inlineStr">
        <is>
          <t>Minimum Requirements</t>
        </is>
      </c>
      <c r="B213" t="inlineStr">
        <is>
          <t>Oklahoma</t>
        </is>
      </c>
      <c r="C213" t="inlineStr">
        <is>
          <t>PD Source</t>
        </is>
      </c>
      <c r="D213" t="inlineStr">
        <is>
          <t>Yes</t>
        </is>
      </c>
      <c r="E213" t="inlineStr">
        <is>
          <t>Yes</t>
        </is>
      </c>
      <c r="F213" s="501" t="inlineStr">
        <is>
          <t>Pass</t>
        </is>
      </c>
      <c r="G213" t="inlineStr"/>
    </row>
    <row r="214">
      <c r="A214" t="inlineStr">
        <is>
          <t>Minimum Requirements</t>
        </is>
      </c>
      <c r="B214" t="inlineStr">
        <is>
          <t>Oklahoma</t>
        </is>
      </c>
      <c r="C214" t="inlineStr">
        <is>
          <t>PIP Source</t>
        </is>
      </c>
      <c r="D214" t="inlineStr">
        <is>
          <t>Yes</t>
        </is>
      </c>
      <c r="E214" t="inlineStr">
        <is>
          <t>Yes</t>
        </is>
      </c>
      <c r="F214" s="501" t="inlineStr">
        <is>
          <t>Pass</t>
        </is>
      </c>
      <c r="G214" t="inlineStr"/>
    </row>
    <row r="215">
      <c r="A215" t="inlineStr">
        <is>
          <t>Minimum Requirements</t>
        </is>
      </c>
      <c r="B215" t="inlineStr">
        <is>
          <t>Oklahoma</t>
        </is>
      </c>
      <c r="C215" t="inlineStr">
        <is>
          <t>UM/UIM Source</t>
        </is>
      </c>
      <c r="D215" t="inlineStr">
        <is>
          <t>Yes</t>
        </is>
      </c>
      <c r="E215" t="inlineStr">
        <is>
          <t>Yes</t>
        </is>
      </c>
      <c r="F215" s="501" t="inlineStr">
        <is>
          <t>Pass</t>
        </is>
      </c>
      <c r="G215" t="inlineStr"/>
    </row>
    <row r="216">
      <c r="A216" t="inlineStr">
        <is>
          <t>Minimum Requirements</t>
        </is>
      </c>
      <c r="B216" t="inlineStr">
        <is>
          <t>Oklahoma</t>
        </is>
      </c>
      <c r="C216" t="inlineStr">
        <is>
          <t>BI SOL Source</t>
        </is>
      </c>
      <c r="D216" t="inlineStr">
        <is>
          <t>Yes</t>
        </is>
      </c>
      <c r="E216" t="inlineStr">
        <is>
          <t>Yes</t>
        </is>
      </c>
      <c r="F216" s="501" t="inlineStr">
        <is>
          <t>Pass</t>
        </is>
      </c>
      <c r="G216" t="inlineStr"/>
    </row>
    <row r="217">
      <c r="A217" t="inlineStr">
        <is>
          <t>Minimum Requirements</t>
        </is>
      </c>
      <c r="B217" t="inlineStr">
        <is>
          <t>Oklahoma</t>
        </is>
      </c>
      <c r="C217" t="inlineStr">
        <is>
          <t>PD SOL Source</t>
        </is>
      </c>
      <c r="D217" t="inlineStr">
        <is>
          <t>Yes</t>
        </is>
      </c>
      <c r="E217" t="inlineStr">
        <is>
          <t>Yes</t>
        </is>
      </c>
      <c r="F217" s="501" t="inlineStr">
        <is>
          <t>Pass</t>
        </is>
      </c>
      <c r="G217" t="inlineStr"/>
    </row>
    <row r="218">
      <c r="A218" t="inlineStr">
        <is>
          <t>Minimum Requirements</t>
        </is>
      </c>
      <c r="B218" t="inlineStr">
        <is>
          <t>Oregon</t>
        </is>
      </c>
      <c r="C218" t="inlineStr">
        <is>
          <t>BI Source</t>
        </is>
      </c>
      <c r="D218" t="inlineStr">
        <is>
          <t>Yes</t>
        </is>
      </c>
      <c r="E218" t="inlineStr">
        <is>
          <t>Yes</t>
        </is>
      </c>
      <c r="F218" s="501" t="inlineStr">
        <is>
          <t>Pass</t>
        </is>
      </c>
      <c r="G218" t="inlineStr"/>
    </row>
    <row r="219">
      <c r="A219" t="inlineStr">
        <is>
          <t>Minimum Requirements</t>
        </is>
      </c>
      <c r="B219" t="inlineStr">
        <is>
          <t>Oregon</t>
        </is>
      </c>
      <c r="C219" t="inlineStr">
        <is>
          <t>PD Source</t>
        </is>
      </c>
      <c r="D219" t="inlineStr">
        <is>
          <t>Yes</t>
        </is>
      </c>
      <c r="E219" t="inlineStr">
        <is>
          <t>Yes</t>
        </is>
      </c>
      <c r="F219" s="501" t="inlineStr">
        <is>
          <t>Pass</t>
        </is>
      </c>
      <c r="G219" t="inlineStr"/>
    </row>
    <row r="220">
      <c r="A220" t="inlineStr">
        <is>
          <t>Minimum Requirements</t>
        </is>
      </c>
      <c r="B220" t="inlineStr">
        <is>
          <t>Oregon</t>
        </is>
      </c>
      <c r="C220" t="inlineStr">
        <is>
          <t>PIP Source</t>
        </is>
      </c>
      <c r="D220" t="inlineStr">
        <is>
          <t>Yes</t>
        </is>
      </c>
      <c r="E220" t="inlineStr">
        <is>
          <t>Yes</t>
        </is>
      </c>
      <c r="F220" s="501" t="inlineStr">
        <is>
          <t>Pass</t>
        </is>
      </c>
      <c r="G220" t="inlineStr"/>
    </row>
    <row r="221">
      <c r="A221" t="inlineStr">
        <is>
          <t>Minimum Requirements</t>
        </is>
      </c>
      <c r="B221" t="inlineStr">
        <is>
          <t>Oregon</t>
        </is>
      </c>
      <c r="C221" t="inlineStr">
        <is>
          <t>UM/UIM Source</t>
        </is>
      </c>
      <c r="D221" t="inlineStr">
        <is>
          <t>Yes</t>
        </is>
      </c>
      <c r="E221" t="inlineStr">
        <is>
          <t>Yes</t>
        </is>
      </c>
      <c r="F221" s="501" t="inlineStr">
        <is>
          <t>Pass</t>
        </is>
      </c>
      <c r="G221" t="inlineStr"/>
    </row>
    <row r="222">
      <c r="A222" t="inlineStr">
        <is>
          <t>Minimum Requirements</t>
        </is>
      </c>
      <c r="B222" t="inlineStr">
        <is>
          <t>Oregon</t>
        </is>
      </c>
      <c r="C222" t="inlineStr">
        <is>
          <t>BI SOL Source</t>
        </is>
      </c>
      <c r="D222" t="inlineStr">
        <is>
          <t>Yes</t>
        </is>
      </c>
      <c r="E222" t="inlineStr">
        <is>
          <t>Yes</t>
        </is>
      </c>
      <c r="F222" s="501" t="inlineStr">
        <is>
          <t>Pass</t>
        </is>
      </c>
      <c r="G222" t="inlineStr"/>
    </row>
    <row r="223">
      <c r="A223" t="inlineStr">
        <is>
          <t>Minimum Requirements</t>
        </is>
      </c>
      <c r="B223" t="inlineStr">
        <is>
          <t>Oregon</t>
        </is>
      </c>
      <c r="C223" t="inlineStr">
        <is>
          <t>PD SOL Source</t>
        </is>
      </c>
      <c r="D223" t="inlineStr">
        <is>
          <t>Yes</t>
        </is>
      </c>
      <c r="E223" t="inlineStr">
        <is>
          <t>Yes</t>
        </is>
      </c>
      <c r="F223" s="501" t="inlineStr">
        <is>
          <t>Pass</t>
        </is>
      </c>
      <c r="G223" t="inlineStr"/>
    </row>
    <row r="224">
      <c r="A224" t="inlineStr">
        <is>
          <t>Minimum Requirements</t>
        </is>
      </c>
      <c r="B224" t="inlineStr">
        <is>
          <t>Pennsylvania</t>
        </is>
      </c>
      <c r="C224" t="inlineStr">
        <is>
          <t>BI Source</t>
        </is>
      </c>
      <c r="D224" t="inlineStr">
        <is>
          <t>Yes</t>
        </is>
      </c>
      <c r="E224" t="inlineStr">
        <is>
          <t>Yes</t>
        </is>
      </c>
      <c r="F224" s="501" t="inlineStr">
        <is>
          <t>Pass</t>
        </is>
      </c>
      <c r="G224" t="inlineStr"/>
    </row>
    <row r="225">
      <c r="A225" t="inlineStr">
        <is>
          <t>Minimum Requirements</t>
        </is>
      </c>
      <c r="B225" t="inlineStr">
        <is>
          <t>Pennsylvania</t>
        </is>
      </c>
      <c r="C225" t="inlineStr">
        <is>
          <t>PD Source</t>
        </is>
      </c>
      <c r="D225" t="inlineStr">
        <is>
          <t>Yes</t>
        </is>
      </c>
      <c r="E225" t="inlineStr">
        <is>
          <t>Yes</t>
        </is>
      </c>
      <c r="F225" s="501" t="inlineStr">
        <is>
          <t>Pass</t>
        </is>
      </c>
      <c r="G225" t="inlineStr"/>
    </row>
    <row r="226">
      <c r="A226" t="inlineStr">
        <is>
          <t>Minimum Requirements</t>
        </is>
      </c>
      <c r="B226" t="inlineStr">
        <is>
          <t>Pennsylvania</t>
        </is>
      </c>
      <c r="C226" t="inlineStr">
        <is>
          <t>PIP Source</t>
        </is>
      </c>
      <c r="D226" t="inlineStr">
        <is>
          <t>Yes</t>
        </is>
      </c>
      <c r="E226" t="inlineStr">
        <is>
          <t>Yes</t>
        </is>
      </c>
      <c r="F226" s="501" t="inlineStr">
        <is>
          <t>Pass</t>
        </is>
      </c>
      <c r="G226" t="inlineStr"/>
    </row>
    <row r="227">
      <c r="A227" t="inlineStr">
        <is>
          <t>Minimum Requirements</t>
        </is>
      </c>
      <c r="B227" t="inlineStr">
        <is>
          <t>Pennsylvania</t>
        </is>
      </c>
      <c r="C227" t="inlineStr">
        <is>
          <t>UM/UIM Source</t>
        </is>
      </c>
      <c r="D227" t="inlineStr">
        <is>
          <t>Yes</t>
        </is>
      </c>
      <c r="E227" t="inlineStr">
        <is>
          <t>Yes</t>
        </is>
      </c>
      <c r="F227" s="501" t="inlineStr">
        <is>
          <t>Pass</t>
        </is>
      </c>
      <c r="G227" t="inlineStr"/>
    </row>
    <row r="228">
      <c r="A228" t="inlineStr">
        <is>
          <t>Minimum Requirements</t>
        </is>
      </c>
      <c r="B228" t="inlineStr">
        <is>
          <t>Pennsylvania</t>
        </is>
      </c>
      <c r="C228" t="inlineStr">
        <is>
          <t>BI SOL Source</t>
        </is>
      </c>
      <c r="D228" t="inlineStr">
        <is>
          <t>Yes</t>
        </is>
      </c>
      <c r="E228" t="inlineStr">
        <is>
          <t>Yes</t>
        </is>
      </c>
      <c r="F228" s="501" t="inlineStr">
        <is>
          <t>Pass</t>
        </is>
      </c>
      <c r="G228" t="inlineStr"/>
    </row>
    <row r="229">
      <c r="A229" t="inlineStr">
        <is>
          <t>Minimum Requirements</t>
        </is>
      </c>
      <c r="B229" t="inlineStr">
        <is>
          <t>Pennsylvania</t>
        </is>
      </c>
      <c r="C229" t="inlineStr">
        <is>
          <t>PD SOL Source</t>
        </is>
      </c>
      <c r="D229" t="inlineStr">
        <is>
          <t>Yes</t>
        </is>
      </c>
      <c r="E229" t="inlineStr">
        <is>
          <t>Yes</t>
        </is>
      </c>
      <c r="F229" s="501" t="inlineStr">
        <is>
          <t>Pass</t>
        </is>
      </c>
      <c r="G229" t="inlineStr"/>
    </row>
    <row r="230">
      <c r="A230" t="inlineStr">
        <is>
          <t>Minimum Requirements</t>
        </is>
      </c>
      <c r="B230" t="inlineStr">
        <is>
          <t>Rhode Island</t>
        </is>
      </c>
      <c r="C230" t="inlineStr">
        <is>
          <t>BI Source</t>
        </is>
      </c>
      <c r="D230" t="inlineStr">
        <is>
          <t>Yes</t>
        </is>
      </c>
      <c r="E230" t="inlineStr">
        <is>
          <t>Yes</t>
        </is>
      </c>
      <c r="F230" s="501" t="inlineStr">
        <is>
          <t>Pass</t>
        </is>
      </c>
      <c r="G230" t="inlineStr"/>
    </row>
    <row r="231">
      <c r="A231" t="inlineStr">
        <is>
          <t>Minimum Requirements</t>
        </is>
      </c>
      <c r="B231" t="inlineStr">
        <is>
          <t>Rhode Island</t>
        </is>
      </c>
      <c r="C231" t="inlineStr">
        <is>
          <t>PD Source</t>
        </is>
      </c>
      <c r="D231" t="inlineStr">
        <is>
          <t>Yes</t>
        </is>
      </c>
      <c r="E231" t="inlineStr">
        <is>
          <t>Yes</t>
        </is>
      </c>
      <c r="F231" s="501" t="inlineStr">
        <is>
          <t>Pass</t>
        </is>
      </c>
      <c r="G231" t="inlineStr"/>
    </row>
    <row r="232">
      <c r="A232" t="inlineStr">
        <is>
          <t>Minimum Requirements</t>
        </is>
      </c>
      <c r="B232" t="inlineStr">
        <is>
          <t>Rhode Island</t>
        </is>
      </c>
      <c r="C232" t="inlineStr">
        <is>
          <t>PIP Source</t>
        </is>
      </c>
      <c r="D232" t="inlineStr">
        <is>
          <t>Yes</t>
        </is>
      </c>
      <c r="E232" t="inlineStr">
        <is>
          <t>Yes</t>
        </is>
      </c>
      <c r="F232" s="501" t="inlineStr">
        <is>
          <t>Pass</t>
        </is>
      </c>
      <c r="G232" t="inlineStr"/>
    </row>
    <row r="233">
      <c r="A233" t="inlineStr">
        <is>
          <t>Minimum Requirements</t>
        </is>
      </c>
      <c r="B233" t="inlineStr">
        <is>
          <t>Rhode Island</t>
        </is>
      </c>
      <c r="C233" t="inlineStr">
        <is>
          <t>UM/UIM Source</t>
        </is>
      </c>
      <c r="D233" t="inlineStr">
        <is>
          <t>Yes</t>
        </is>
      </c>
      <c r="E233" t="inlineStr">
        <is>
          <t>Yes</t>
        </is>
      </c>
      <c r="F233" s="501" t="inlineStr">
        <is>
          <t>Pass</t>
        </is>
      </c>
      <c r="G233" t="inlineStr"/>
    </row>
    <row r="234">
      <c r="A234" t="inlineStr">
        <is>
          <t>Minimum Requirements</t>
        </is>
      </c>
      <c r="B234" t="inlineStr">
        <is>
          <t>Rhode Island</t>
        </is>
      </c>
      <c r="C234" t="inlineStr">
        <is>
          <t>BI SOL Source</t>
        </is>
      </c>
      <c r="D234" t="inlineStr">
        <is>
          <t>Yes</t>
        </is>
      </c>
      <c r="E234" t="inlineStr">
        <is>
          <t>Yes</t>
        </is>
      </c>
      <c r="F234" s="501" t="inlineStr">
        <is>
          <t>Pass</t>
        </is>
      </c>
      <c r="G234" t="inlineStr"/>
    </row>
    <row r="235">
      <c r="A235" t="inlineStr">
        <is>
          <t>Minimum Requirements</t>
        </is>
      </c>
      <c r="B235" t="inlineStr">
        <is>
          <t>Rhode Island</t>
        </is>
      </c>
      <c r="C235" t="inlineStr">
        <is>
          <t>PD SOL Source</t>
        </is>
      </c>
      <c r="D235" t="inlineStr">
        <is>
          <t>Yes</t>
        </is>
      </c>
      <c r="E235" t="inlineStr">
        <is>
          <t>Yes</t>
        </is>
      </c>
      <c r="F235" s="501" t="inlineStr">
        <is>
          <t>Pass</t>
        </is>
      </c>
      <c r="G235" t="inlineStr"/>
    </row>
    <row r="236">
      <c r="A236" t="inlineStr">
        <is>
          <t>Minimum Requirements</t>
        </is>
      </c>
      <c r="B236" t="inlineStr">
        <is>
          <t>South Carolina</t>
        </is>
      </c>
      <c r="C236" t="inlineStr">
        <is>
          <t>BI Source</t>
        </is>
      </c>
      <c r="D236" t="inlineStr">
        <is>
          <t>Yes</t>
        </is>
      </c>
      <c r="E236" t="inlineStr">
        <is>
          <t>Yes</t>
        </is>
      </c>
      <c r="F236" s="501" t="inlineStr">
        <is>
          <t>Pass</t>
        </is>
      </c>
      <c r="G236" t="inlineStr"/>
    </row>
    <row r="237">
      <c r="A237" t="inlineStr">
        <is>
          <t>Minimum Requirements</t>
        </is>
      </c>
      <c r="B237" t="inlineStr">
        <is>
          <t>South Carolina</t>
        </is>
      </c>
      <c r="C237" t="inlineStr">
        <is>
          <t>PD Source</t>
        </is>
      </c>
      <c r="D237" t="inlineStr">
        <is>
          <t>Yes</t>
        </is>
      </c>
      <c r="E237" t="inlineStr">
        <is>
          <t>Yes</t>
        </is>
      </c>
      <c r="F237" s="501" t="inlineStr">
        <is>
          <t>Pass</t>
        </is>
      </c>
      <c r="G237" t="inlineStr"/>
    </row>
    <row r="238">
      <c r="A238" t="inlineStr">
        <is>
          <t>Minimum Requirements</t>
        </is>
      </c>
      <c r="B238" t="inlineStr">
        <is>
          <t>South Carolina</t>
        </is>
      </c>
      <c r="C238" t="inlineStr">
        <is>
          <t>PIP Source</t>
        </is>
      </c>
      <c r="D238" t="inlineStr">
        <is>
          <t>Yes</t>
        </is>
      </c>
      <c r="E238" t="inlineStr">
        <is>
          <t>Yes</t>
        </is>
      </c>
      <c r="F238" s="501" t="inlineStr">
        <is>
          <t>Pass</t>
        </is>
      </c>
      <c r="G238" t="inlineStr"/>
    </row>
    <row r="239">
      <c r="A239" t="inlineStr">
        <is>
          <t>Minimum Requirements</t>
        </is>
      </c>
      <c r="B239" t="inlineStr">
        <is>
          <t>South Carolina</t>
        </is>
      </c>
      <c r="C239" t="inlineStr">
        <is>
          <t>UM/UIM Source</t>
        </is>
      </c>
      <c r="D239" t="inlineStr">
        <is>
          <t>Yes</t>
        </is>
      </c>
      <c r="E239" t="inlineStr">
        <is>
          <t>Yes</t>
        </is>
      </c>
      <c r="F239" s="501" t="inlineStr">
        <is>
          <t>Pass</t>
        </is>
      </c>
      <c r="G239" t="inlineStr"/>
    </row>
    <row r="240">
      <c r="A240" t="inlineStr">
        <is>
          <t>Minimum Requirements</t>
        </is>
      </c>
      <c r="B240" t="inlineStr">
        <is>
          <t>South Carolina</t>
        </is>
      </c>
      <c r="C240" t="inlineStr">
        <is>
          <t>BI SOL Source</t>
        </is>
      </c>
      <c r="D240" t="inlineStr">
        <is>
          <t>Yes</t>
        </is>
      </c>
      <c r="E240" t="inlineStr">
        <is>
          <t>Yes</t>
        </is>
      </c>
      <c r="F240" s="501" t="inlineStr">
        <is>
          <t>Pass</t>
        </is>
      </c>
      <c r="G240" t="inlineStr"/>
    </row>
    <row r="241">
      <c r="A241" t="inlineStr">
        <is>
          <t>Minimum Requirements</t>
        </is>
      </c>
      <c r="B241" t="inlineStr">
        <is>
          <t>South Carolina</t>
        </is>
      </c>
      <c r="C241" t="inlineStr">
        <is>
          <t>PD SOL Source</t>
        </is>
      </c>
      <c r="D241" t="inlineStr">
        <is>
          <t>Yes</t>
        </is>
      </c>
      <c r="E241" t="inlineStr">
        <is>
          <t>Yes</t>
        </is>
      </c>
      <c r="F241" s="501" t="inlineStr">
        <is>
          <t>Pass</t>
        </is>
      </c>
      <c r="G241" t="inlineStr"/>
    </row>
    <row r="242">
      <c r="A242" t="inlineStr">
        <is>
          <t>Minimum Requirements</t>
        </is>
      </c>
      <c r="B242" t="inlineStr">
        <is>
          <t>South Dakota</t>
        </is>
      </c>
      <c r="C242" t="inlineStr">
        <is>
          <t>BI Source</t>
        </is>
      </c>
      <c r="D242" t="inlineStr">
        <is>
          <t>Yes</t>
        </is>
      </c>
      <c r="E242" t="inlineStr">
        <is>
          <t>Yes</t>
        </is>
      </c>
      <c r="F242" s="501" t="inlineStr">
        <is>
          <t>Pass</t>
        </is>
      </c>
      <c r="G242" t="inlineStr"/>
    </row>
    <row r="243">
      <c r="A243" t="inlineStr">
        <is>
          <t>Minimum Requirements</t>
        </is>
      </c>
      <c r="B243" t="inlineStr">
        <is>
          <t>South Dakota</t>
        </is>
      </c>
      <c r="C243" t="inlineStr">
        <is>
          <t>PD Source</t>
        </is>
      </c>
      <c r="D243" t="inlineStr">
        <is>
          <t>Yes</t>
        </is>
      </c>
      <c r="E243" t="inlineStr">
        <is>
          <t>Yes</t>
        </is>
      </c>
      <c r="F243" s="501" t="inlineStr">
        <is>
          <t>Pass</t>
        </is>
      </c>
      <c r="G243" t="inlineStr"/>
    </row>
    <row r="244">
      <c r="A244" t="inlineStr">
        <is>
          <t>Minimum Requirements</t>
        </is>
      </c>
      <c r="B244" t="inlineStr">
        <is>
          <t>South Dakota</t>
        </is>
      </c>
      <c r="C244" t="inlineStr">
        <is>
          <t>PIP Source</t>
        </is>
      </c>
      <c r="D244" t="inlineStr">
        <is>
          <t>Yes</t>
        </is>
      </c>
      <c r="E244" t="inlineStr">
        <is>
          <t>Yes</t>
        </is>
      </c>
      <c r="F244" s="501" t="inlineStr">
        <is>
          <t>Pass</t>
        </is>
      </c>
      <c r="G244" t="inlineStr"/>
    </row>
    <row r="245">
      <c r="A245" t="inlineStr">
        <is>
          <t>Minimum Requirements</t>
        </is>
      </c>
      <c r="B245" t="inlineStr">
        <is>
          <t>South Dakota</t>
        </is>
      </c>
      <c r="C245" t="inlineStr">
        <is>
          <t>UM/UIM Source</t>
        </is>
      </c>
      <c r="D245" t="inlineStr">
        <is>
          <t>Yes</t>
        </is>
      </c>
      <c r="E245" t="inlineStr">
        <is>
          <t>Yes</t>
        </is>
      </c>
      <c r="F245" s="501" t="inlineStr">
        <is>
          <t>Pass</t>
        </is>
      </c>
      <c r="G245" t="inlineStr"/>
    </row>
    <row r="246">
      <c r="A246" t="inlineStr">
        <is>
          <t>Minimum Requirements</t>
        </is>
      </c>
      <c r="B246" t="inlineStr">
        <is>
          <t>South Dakota</t>
        </is>
      </c>
      <c r="C246" t="inlineStr">
        <is>
          <t>BI SOL Source</t>
        </is>
      </c>
      <c r="D246" t="inlineStr">
        <is>
          <t>Yes</t>
        </is>
      </c>
      <c r="E246" t="inlineStr">
        <is>
          <t>Yes</t>
        </is>
      </c>
      <c r="F246" s="501" t="inlineStr">
        <is>
          <t>Pass</t>
        </is>
      </c>
      <c r="G246" t="inlineStr"/>
    </row>
    <row r="247">
      <c r="A247" t="inlineStr">
        <is>
          <t>Minimum Requirements</t>
        </is>
      </c>
      <c r="B247" t="inlineStr">
        <is>
          <t>South Dakota</t>
        </is>
      </c>
      <c r="C247" t="inlineStr">
        <is>
          <t>PD SOL Source</t>
        </is>
      </c>
      <c r="D247" t="inlineStr">
        <is>
          <t>Yes</t>
        </is>
      </c>
      <c r="E247" t="inlineStr">
        <is>
          <t>Yes</t>
        </is>
      </c>
      <c r="F247" s="501" t="inlineStr">
        <is>
          <t>Pass</t>
        </is>
      </c>
      <c r="G247" t="inlineStr"/>
    </row>
    <row r="248">
      <c r="A248" t="inlineStr">
        <is>
          <t>Minimum Requirements</t>
        </is>
      </c>
      <c r="B248" t="inlineStr">
        <is>
          <t>Tennessee</t>
        </is>
      </c>
      <c r="C248" t="inlineStr">
        <is>
          <t>BI Source</t>
        </is>
      </c>
      <c r="D248" t="inlineStr">
        <is>
          <t>Yes</t>
        </is>
      </c>
      <c r="E248" t="inlineStr">
        <is>
          <t>Yes</t>
        </is>
      </c>
      <c r="F248" s="501" t="inlineStr">
        <is>
          <t>Pass</t>
        </is>
      </c>
      <c r="G248" t="inlineStr"/>
    </row>
    <row r="249">
      <c r="A249" t="inlineStr">
        <is>
          <t>Minimum Requirements</t>
        </is>
      </c>
      <c r="B249" t="inlineStr">
        <is>
          <t>Tennessee</t>
        </is>
      </c>
      <c r="C249" t="inlineStr">
        <is>
          <t>PD Source</t>
        </is>
      </c>
      <c r="D249" t="inlineStr">
        <is>
          <t>Yes</t>
        </is>
      </c>
      <c r="E249" t="inlineStr">
        <is>
          <t>Yes</t>
        </is>
      </c>
      <c r="F249" s="501" t="inlineStr">
        <is>
          <t>Pass</t>
        </is>
      </c>
      <c r="G249" t="inlineStr"/>
    </row>
    <row r="250">
      <c r="A250" t="inlineStr">
        <is>
          <t>Minimum Requirements</t>
        </is>
      </c>
      <c r="B250" t="inlineStr">
        <is>
          <t>Tennessee</t>
        </is>
      </c>
      <c r="C250" t="inlineStr">
        <is>
          <t>PIP Source</t>
        </is>
      </c>
      <c r="D250" t="inlineStr">
        <is>
          <t>Yes</t>
        </is>
      </c>
      <c r="E250" t="inlineStr">
        <is>
          <t>Yes</t>
        </is>
      </c>
      <c r="F250" s="501" t="inlineStr">
        <is>
          <t>Pass</t>
        </is>
      </c>
      <c r="G250" t="inlineStr"/>
    </row>
    <row r="251">
      <c r="A251" t="inlineStr">
        <is>
          <t>Minimum Requirements</t>
        </is>
      </c>
      <c r="B251" t="inlineStr">
        <is>
          <t>Tennessee</t>
        </is>
      </c>
      <c r="C251" t="inlineStr">
        <is>
          <t>UM/UIM Source</t>
        </is>
      </c>
      <c r="D251" t="inlineStr">
        <is>
          <t>Yes</t>
        </is>
      </c>
      <c r="E251" t="inlineStr">
        <is>
          <t>Yes</t>
        </is>
      </c>
      <c r="F251" s="501" t="inlineStr">
        <is>
          <t>Pass</t>
        </is>
      </c>
      <c r="G251" t="inlineStr"/>
    </row>
    <row r="252">
      <c r="A252" t="inlineStr">
        <is>
          <t>Minimum Requirements</t>
        </is>
      </c>
      <c r="B252" t="inlineStr">
        <is>
          <t>Tennessee</t>
        </is>
      </c>
      <c r="C252" t="inlineStr">
        <is>
          <t>BI SOL Source</t>
        </is>
      </c>
      <c r="D252" t="inlineStr">
        <is>
          <t>Yes</t>
        </is>
      </c>
      <c r="E252" t="inlineStr">
        <is>
          <t>Yes</t>
        </is>
      </c>
      <c r="F252" s="501" t="inlineStr">
        <is>
          <t>Pass</t>
        </is>
      </c>
      <c r="G252" t="inlineStr"/>
    </row>
    <row r="253">
      <c r="A253" t="inlineStr">
        <is>
          <t>Minimum Requirements</t>
        </is>
      </c>
      <c r="B253" t="inlineStr">
        <is>
          <t>Tennessee</t>
        </is>
      </c>
      <c r="C253" t="inlineStr">
        <is>
          <t>PD SOL Source</t>
        </is>
      </c>
      <c r="D253" t="inlineStr">
        <is>
          <t>Yes</t>
        </is>
      </c>
      <c r="E253" t="inlineStr">
        <is>
          <t>Yes</t>
        </is>
      </c>
      <c r="F253" s="501" t="inlineStr">
        <is>
          <t>Pass</t>
        </is>
      </c>
      <c r="G253" t="inlineStr"/>
    </row>
    <row r="254">
      <c r="A254" t="inlineStr">
        <is>
          <t>Minimum Requirements</t>
        </is>
      </c>
      <c r="B254" t="inlineStr">
        <is>
          <t>Texas</t>
        </is>
      </c>
      <c r="C254" t="inlineStr">
        <is>
          <t>BI Source</t>
        </is>
      </c>
      <c r="D254" t="inlineStr">
        <is>
          <t>Yes</t>
        </is>
      </c>
      <c r="E254" t="inlineStr">
        <is>
          <t>Yes</t>
        </is>
      </c>
      <c r="F254" s="501" t="inlineStr">
        <is>
          <t>Pass</t>
        </is>
      </c>
      <c r="G254" t="inlineStr"/>
    </row>
    <row r="255">
      <c r="A255" t="inlineStr">
        <is>
          <t>Minimum Requirements</t>
        </is>
      </c>
      <c r="B255" t="inlineStr">
        <is>
          <t>Texas</t>
        </is>
      </c>
      <c r="C255" t="inlineStr">
        <is>
          <t>PD Source</t>
        </is>
      </c>
      <c r="D255" t="inlineStr">
        <is>
          <t>Yes</t>
        </is>
      </c>
      <c r="E255" t="inlineStr">
        <is>
          <t>Yes</t>
        </is>
      </c>
      <c r="F255" s="501" t="inlineStr">
        <is>
          <t>Pass</t>
        </is>
      </c>
      <c r="G255" t="inlineStr"/>
    </row>
    <row r="256">
      <c r="A256" t="inlineStr">
        <is>
          <t>Minimum Requirements</t>
        </is>
      </c>
      <c r="B256" t="inlineStr">
        <is>
          <t>Texas</t>
        </is>
      </c>
      <c r="C256" t="inlineStr">
        <is>
          <t>PIP Source</t>
        </is>
      </c>
      <c r="D256" t="inlineStr">
        <is>
          <t>Yes</t>
        </is>
      </c>
      <c r="E256" t="inlineStr">
        <is>
          <t>Yes</t>
        </is>
      </c>
      <c r="F256" s="501" t="inlineStr">
        <is>
          <t>Pass</t>
        </is>
      </c>
      <c r="G256" t="inlineStr"/>
    </row>
    <row r="257">
      <c r="A257" t="inlineStr">
        <is>
          <t>Minimum Requirements</t>
        </is>
      </c>
      <c r="B257" t="inlineStr">
        <is>
          <t>Texas</t>
        </is>
      </c>
      <c r="C257" t="inlineStr">
        <is>
          <t>UM/UIM Source</t>
        </is>
      </c>
      <c r="D257" t="inlineStr">
        <is>
          <t>Yes</t>
        </is>
      </c>
      <c r="E257" t="inlineStr">
        <is>
          <t>Yes</t>
        </is>
      </c>
      <c r="F257" s="501" t="inlineStr">
        <is>
          <t>Pass</t>
        </is>
      </c>
      <c r="G257" t="inlineStr"/>
    </row>
    <row r="258">
      <c r="A258" t="inlineStr">
        <is>
          <t>Minimum Requirements</t>
        </is>
      </c>
      <c r="B258" t="inlineStr">
        <is>
          <t>Texas</t>
        </is>
      </c>
      <c r="C258" t="inlineStr">
        <is>
          <t>BI SOL Source</t>
        </is>
      </c>
      <c r="D258" t="inlineStr">
        <is>
          <t>Yes</t>
        </is>
      </c>
      <c r="E258" t="inlineStr">
        <is>
          <t>Yes</t>
        </is>
      </c>
      <c r="F258" s="501" t="inlineStr">
        <is>
          <t>Pass</t>
        </is>
      </c>
      <c r="G258" t="inlineStr"/>
    </row>
    <row r="259">
      <c r="A259" t="inlineStr">
        <is>
          <t>Minimum Requirements</t>
        </is>
      </c>
      <c r="B259" t="inlineStr">
        <is>
          <t>Texas</t>
        </is>
      </c>
      <c r="C259" t="inlineStr">
        <is>
          <t>PD SOL Source</t>
        </is>
      </c>
      <c r="D259" t="inlineStr">
        <is>
          <t>Yes</t>
        </is>
      </c>
      <c r="E259" t="inlineStr">
        <is>
          <t>Yes</t>
        </is>
      </c>
      <c r="F259" s="501" t="inlineStr">
        <is>
          <t>Pass</t>
        </is>
      </c>
      <c r="G259" t="inlineStr"/>
    </row>
    <row r="260">
      <c r="A260" t="inlineStr">
        <is>
          <t>Minimum Requirements</t>
        </is>
      </c>
      <c r="B260" t="inlineStr">
        <is>
          <t>Utah</t>
        </is>
      </c>
      <c r="C260" t="inlineStr">
        <is>
          <t>BI Source</t>
        </is>
      </c>
      <c r="D260" t="inlineStr">
        <is>
          <t>Yes</t>
        </is>
      </c>
      <c r="E260" t="inlineStr">
        <is>
          <t>Yes</t>
        </is>
      </c>
      <c r="F260" s="501" t="inlineStr">
        <is>
          <t>Pass</t>
        </is>
      </c>
      <c r="G260" t="inlineStr"/>
    </row>
    <row r="261">
      <c r="A261" t="inlineStr">
        <is>
          <t>Minimum Requirements</t>
        </is>
      </c>
      <c r="B261" t="inlineStr">
        <is>
          <t>Utah</t>
        </is>
      </c>
      <c r="C261" t="inlineStr">
        <is>
          <t>PD Source</t>
        </is>
      </c>
      <c r="D261" t="inlineStr">
        <is>
          <t>Yes</t>
        </is>
      </c>
      <c r="E261" t="inlineStr">
        <is>
          <t>Yes</t>
        </is>
      </c>
      <c r="F261" s="501" t="inlineStr">
        <is>
          <t>Pass</t>
        </is>
      </c>
      <c r="G261" t="inlineStr"/>
    </row>
    <row r="262">
      <c r="A262" t="inlineStr">
        <is>
          <t>Minimum Requirements</t>
        </is>
      </c>
      <c r="B262" t="inlineStr">
        <is>
          <t>Utah</t>
        </is>
      </c>
      <c r="C262" t="inlineStr">
        <is>
          <t>PIP Source</t>
        </is>
      </c>
      <c r="D262" t="inlineStr">
        <is>
          <t>Yes</t>
        </is>
      </c>
      <c r="E262" t="inlineStr">
        <is>
          <t>Yes</t>
        </is>
      </c>
      <c r="F262" s="501" t="inlineStr">
        <is>
          <t>Pass</t>
        </is>
      </c>
      <c r="G262" t="inlineStr"/>
    </row>
    <row r="263">
      <c r="A263" t="inlineStr">
        <is>
          <t>Minimum Requirements</t>
        </is>
      </c>
      <c r="B263" t="inlineStr">
        <is>
          <t>Utah</t>
        </is>
      </c>
      <c r="C263" t="inlineStr">
        <is>
          <t>UM/UIM Source</t>
        </is>
      </c>
      <c r="D263" t="inlineStr">
        <is>
          <t>Yes</t>
        </is>
      </c>
      <c r="E263" t="inlineStr">
        <is>
          <t>Yes</t>
        </is>
      </c>
      <c r="F263" s="501" t="inlineStr">
        <is>
          <t>Pass</t>
        </is>
      </c>
      <c r="G263" t="inlineStr"/>
    </row>
    <row r="264">
      <c r="A264" t="inlineStr">
        <is>
          <t>Minimum Requirements</t>
        </is>
      </c>
      <c r="B264" t="inlineStr">
        <is>
          <t>Utah</t>
        </is>
      </c>
      <c r="C264" t="inlineStr">
        <is>
          <t>BI SOL Source</t>
        </is>
      </c>
      <c r="D264" t="inlineStr">
        <is>
          <t>Yes</t>
        </is>
      </c>
      <c r="E264" t="inlineStr">
        <is>
          <t>Yes</t>
        </is>
      </c>
      <c r="F264" s="501" t="inlineStr">
        <is>
          <t>Pass</t>
        </is>
      </c>
      <c r="G264" t="inlineStr"/>
    </row>
    <row r="265">
      <c r="A265" t="inlineStr">
        <is>
          <t>Minimum Requirements</t>
        </is>
      </c>
      <c r="B265" t="inlineStr">
        <is>
          <t>Utah</t>
        </is>
      </c>
      <c r="C265" t="inlineStr">
        <is>
          <t>PD SOL Source</t>
        </is>
      </c>
      <c r="D265" t="inlineStr">
        <is>
          <t>Yes</t>
        </is>
      </c>
      <c r="E265" t="inlineStr">
        <is>
          <t>Yes</t>
        </is>
      </c>
      <c r="F265" s="501" t="inlineStr">
        <is>
          <t>Pass</t>
        </is>
      </c>
      <c r="G265" t="inlineStr"/>
    </row>
    <row r="266">
      <c r="A266" t="inlineStr">
        <is>
          <t>Minimum Requirements</t>
        </is>
      </c>
      <c r="B266" t="inlineStr">
        <is>
          <t>Vermont</t>
        </is>
      </c>
      <c r="C266" t="inlineStr">
        <is>
          <t>BI Source</t>
        </is>
      </c>
      <c r="D266" t="inlineStr">
        <is>
          <t>Yes</t>
        </is>
      </c>
      <c r="E266" t="inlineStr">
        <is>
          <t>Yes</t>
        </is>
      </c>
      <c r="F266" s="501" t="inlineStr">
        <is>
          <t>Pass</t>
        </is>
      </c>
      <c r="G266" t="inlineStr"/>
    </row>
    <row r="267">
      <c r="A267" t="inlineStr">
        <is>
          <t>Minimum Requirements</t>
        </is>
      </c>
      <c r="B267" t="inlineStr">
        <is>
          <t>Vermont</t>
        </is>
      </c>
      <c r="C267" t="inlineStr">
        <is>
          <t>PD Source</t>
        </is>
      </c>
      <c r="D267" t="inlineStr">
        <is>
          <t>Yes</t>
        </is>
      </c>
      <c r="E267" t="inlineStr">
        <is>
          <t>Yes</t>
        </is>
      </c>
      <c r="F267" s="501" t="inlineStr">
        <is>
          <t>Pass</t>
        </is>
      </c>
      <c r="G267" t="inlineStr"/>
    </row>
    <row r="268">
      <c r="A268" t="inlineStr">
        <is>
          <t>Minimum Requirements</t>
        </is>
      </c>
      <c r="B268" t="inlineStr">
        <is>
          <t>Vermont</t>
        </is>
      </c>
      <c r="C268" t="inlineStr">
        <is>
          <t>PIP Source</t>
        </is>
      </c>
      <c r="D268" t="inlineStr">
        <is>
          <t>Yes</t>
        </is>
      </c>
      <c r="E268" t="inlineStr">
        <is>
          <t>Yes</t>
        </is>
      </c>
      <c r="F268" s="501" t="inlineStr">
        <is>
          <t>Pass</t>
        </is>
      </c>
      <c r="G268" t="inlineStr"/>
    </row>
    <row r="269">
      <c r="A269" t="inlineStr">
        <is>
          <t>Minimum Requirements</t>
        </is>
      </c>
      <c r="B269" t="inlineStr">
        <is>
          <t>Vermont</t>
        </is>
      </c>
      <c r="C269" t="inlineStr">
        <is>
          <t>UM/UIM Source</t>
        </is>
      </c>
      <c r="D269" t="inlineStr">
        <is>
          <t>Yes</t>
        </is>
      </c>
      <c r="E269" t="inlineStr">
        <is>
          <t>Yes</t>
        </is>
      </c>
      <c r="F269" s="501" t="inlineStr">
        <is>
          <t>Pass</t>
        </is>
      </c>
      <c r="G269" t="inlineStr"/>
    </row>
    <row r="270">
      <c r="A270" t="inlineStr">
        <is>
          <t>Minimum Requirements</t>
        </is>
      </c>
      <c r="B270" t="inlineStr">
        <is>
          <t>Vermont</t>
        </is>
      </c>
      <c r="C270" t="inlineStr">
        <is>
          <t>BI SOL Source</t>
        </is>
      </c>
      <c r="D270" t="inlineStr">
        <is>
          <t>Yes</t>
        </is>
      </c>
      <c r="E270" t="inlineStr">
        <is>
          <t>Yes</t>
        </is>
      </c>
      <c r="F270" s="501" t="inlineStr">
        <is>
          <t>Pass</t>
        </is>
      </c>
      <c r="G270" t="inlineStr"/>
    </row>
    <row r="271">
      <c r="A271" t="inlineStr">
        <is>
          <t>Minimum Requirements</t>
        </is>
      </c>
      <c r="B271" t="inlineStr">
        <is>
          <t>Vermont</t>
        </is>
      </c>
      <c r="C271" t="inlineStr">
        <is>
          <t>PD SOL Source</t>
        </is>
      </c>
      <c r="D271" t="inlineStr">
        <is>
          <t>Yes</t>
        </is>
      </c>
      <c r="E271" t="inlineStr">
        <is>
          <t>Yes</t>
        </is>
      </c>
      <c r="F271" s="501" t="inlineStr">
        <is>
          <t>Pass</t>
        </is>
      </c>
      <c r="G271" t="inlineStr"/>
    </row>
    <row r="272">
      <c r="A272" t="inlineStr">
        <is>
          <t>Minimum Requirements</t>
        </is>
      </c>
      <c r="B272" t="inlineStr">
        <is>
          <t>Virginia</t>
        </is>
      </c>
      <c r="C272" t="inlineStr">
        <is>
          <t>BI Source</t>
        </is>
      </c>
      <c r="D272" t="inlineStr">
        <is>
          <t>Yes</t>
        </is>
      </c>
      <c r="E272" t="inlineStr">
        <is>
          <t>Yes</t>
        </is>
      </c>
      <c r="F272" s="501" t="inlineStr">
        <is>
          <t>Pass</t>
        </is>
      </c>
      <c r="G272" t="inlineStr"/>
    </row>
    <row r="273">
      <c r="A273" t="inlineStr">
        <is>
          <t>Minimum Requirements</t>
        </is>
      </c>
      <c r="B273" t="inlineStr">
        <is>
          <t>Virginia</t>
        </is>
      </c>
      <c r="C273" t="inlineStr">
        <is>
          <t>PD Source</t>
        </is>
      </c>
      <c r="D273" t="inlineStr">
        <is>
          <t>Yes</t>
        </is>
      </c>
      <c r="E273" t="inlineStr">
        <is>
          <t>Yes</t>
        </is>
      </c>
      <c r="F273" s="501" t="inlineStr">
        <is>
          <t>Pass</t>
        </is>
      </c>
      <c r="G273" t="inlineStr"/>
    </row>
    <row r="274">
      <c r="A274" t="inlineStr">
        <is>
          <t>Minimum Requirements</t>
        </is>
      </c>
      <c r="B274" t="inlineStr">
        <is>
          <t>Virginia</t>
        </is>
      </c>
      <c r="C274" t="inlineStr">
        <is>
          <t>PIP Source</t>
        </is>
      </c>
      <c r="D274" t="inlineStr">
        <is>
          <t>Yes</t>
        </is>
      </c>
      <c r="E274" t="inlineStr">
        <is>
          <t>Yes</t>
        </is>
      </c>
      <c r="F274" s="501" t="inlineStr">
        <is>
          <t>Pass</t>
        </is>
      </c>
      <c r="G274" t="inlineStr"/>
    </row>
    <row r="275">
      <c r="A275" t="inlineStr">
        <is>
          <t>Minimum Requirements</t>
        </is>
      </c>
      <c r="B275" t="inlineStr">
        <is>
          <t>Virginia</t>
        </is>
      </c>
      <c r="C275" t="inlineStr">
        <is>
          <t>UM/UIM Source</t>
        </is>
      </c>
      <c r="D275" t="inlineStr">
        <is>
          <t>Yes</t>
        </is>
      </c>
      <c r="E275" t="inlineStr">
        <is>
          <t>Yes</t>
        </is>
      </c>
      <c r="F275" s="501" t="inlineStr">
        <is>
          <t>Pass</t>
        </is>
      </c>
      <c r="G275" t="inlineStr"/>
    </row>
    <row r="276">
      <c r="A276" t="inlineStr">
        <is>
          <t>Minimum Requirements</t>
        </is>
      </c>
      <c r="B276" t="inlineStr">
        <is>
          <t>Virginia</t>
        </is>
      </c>
      <c r="C276" t="inlineStr">
        <is>
          <t>BI SOL Source</t>
        </is>
      </c>
      <c r="D276" t="inlineStr">
        <is>
          <t>Yes</t>
        </is>
      </c>
      <c r="E276" t="inlineStr">
        <is>
          <t>Yes</t>
        </is>
      </c>
      <c r="F276" s="501" t="inlineStr">
        <is>
          <t>Pass</t>
        </is>
      </c>
      <c r="G276" t="inlineStr"/>
    </row>
    <row r="277">
      <c r="A277" t="inlineStr">
        <is>
          <t>Minimum Requirements</t>
        </is>
      </c>
      <c r="B277" t="inlineStr">
        <is>
          <t>Virginia</t>
        </is>
      </c>
      <c r="C277" t="inlineStr">
        <is>
          <t>PD SOL Source</t>
        </is>
      </c>
      <c r="D277" t="inlineStr">
        <is>
          <t>Yes</t>
        </is>
      </c>
      <c r="E277" t="inlineStr">
        <is>
          <t>Yes</t>
        </is>
      </c>
      <c r="F277" s="501" t="inlineStr">
        <is>
          <t>Pass</t>
        </is>
      </c>
      <c r="G277" t="inlineStr"/>
    </row>
    <row r="278">
      <c r="A278" t="inlineStr">
        <is>
          <t>Minimum Requirements</t>
        </is>
      </c>
      <c r="B278" t="inlineStr">
        <is>
          <t>Washington</t>
        </is>
      </c>
      <c r="C278" t="inlineStr">
        <is>
          <t>BI Source</t>
        </is>
      </c>
      <c r="D278" t="inlineStr">
        <is>
          <t>Yes</t>
        </is>
      </c>
      <c r="E278" t="inlineStr">
        <is>
          <t>Yes</t>
        </is>
      </c>
      <c r="F278" s="501" t="inlineStr">
        <is>
          <t>Pass</t>
        </is>
      </c>
      <c r="G278" t="inlineStr"/>
    </row>
    <row r="279">
      <c r="A279" t="inlineStr">
        <is>
          <t>Minimum Requirements</t>
        </is>
      </c>
      <c r="B279" t="inlineStr">
        <is>
          <t>Washington</t>
        </is>
      </c>
      <c r="C279" t="inlineStr">
        <is>
          <t>PD Source</t>
        </is>
      </c>
      <c r="D279" t="inlineStr">
        <is>
          <t>Yes</t>
        </is>
      </c>
      <c r="E279" t="inlineStr">
        <is>
          <t>Yes</t>
        </is>
      </c>
      <c r="F279" s="501" t="inlineStr">
        <is>
          <t>Pass</t>
        </is>
      </c>
      <c r="G279" t="inlineStr"/>
    </row>
    <row r="280">
      <c r="A280" t="inlineStr">
        <is>
          <t>Minimum Requirements</t>
        </is>
      </c>
      <c r="B280" t="inlineStr">
        <is>
          <t>Washington</t>
        </is>
      </c>
      <c r="C280" t="inlineStr">
        <is>
          <t>PIP Source</t>
        </is>
      </c>
      <c r="D280" t="inlineStr">
        <is>
          <t>Yes</t>
        </is>
      </c>
      <c r="E280" t="inlineStr">
        <is>
          <t>Yes</t>
        </is>
      </c>
      <c r="F280" s="501" t="inlineStr">
        <is>
          <t>Pass</t>
        </is>
      </c>
      <c r="G280" t="inlineStr"/>
    </row>
    <row r="281">
      <c r="A281" t="inlineStr">
        <is>
          <t>Minimum Requirements</t>
        </is>
      </c>
      <c r="B281" t="inlineStr">
        <is>
          <t>Washington</t>
        </is>
      </c>
      <c r="C281" t="inlineStr">
        <is>
          <t>UM/UIM Source</t>
        </is>
      </c>
      <c r="D281" t="inlineStr">
        <is>
          <t>Yes</t>
        </is>
      </c>
      <c r="E281" t="inlineStr">
        <is>
          <t>Yes</t>
        </is>
      </c>
      <c r="F281" s="501" t="inlineStr">
        <is>
          <t>Pass</t>
        </is>
      </c>
      <c r="G281" t="inlineStr"/>
    </row>
    <row r="282">
      <c r="A282" t="inlineStr">
        <is>
          <t>Minimum Requirements</t>
        </is>
      </c>
      <c r="B282" t="inlineStr">
        <is>
          <t>Washington</t>
        </is>
      </c>
      <c r="C282" t="inlineStr">
        <is>
          <t>BI SOL Source</t>
        </is>
      </c>
      <c r="D282" t="inlineStr">
        <is>
          <t>Yes</t>
        </is>
      </c>
      <c r="E282" t="inlineStr">
        <is>
          <t>Yes</t>
        </is>
      </c>
      <c r="F282" s="501" t="inlineStr">
        <is>
          <t>Pass</t>
        </is>
      </c>
      <c r="G282" t="inlineStr"/>
    </row>
    <row r="283">
      <c r="A283" t="inlineStr">
        <is>
          <t>Minimum Requirements</t>
        </is>
      </c>
      <c r="B283" t="inlineStr">
        <is>
          <t>Washington</t>
        </is>
      </c>
      <c r="C283" t="inlineStr">
        <is>
          <t>PD SOL Source</t>
        </is>
      </c>
      <c r="D283" t="inlineStr">
        <is>
          <t>Yes</t>
        </is>
      </c>
      <c r="E283" t="inlineStr">
        <is>
          <t>Yes</t>
        </is>
      </c>
      <c r="F283" s="501" t="inlineStr">
        <is>
          <t>Pass</t>
        </is>
      </c>
      <c r="G283" t="inlineStr"/>
    </row>
    <row r="284">
      <c r="A284" t="inlineStr">
        <is>
          <t>Minimum Requirements</t>
        </is>
      </c>
      <c r="B284" t="inlineStr">
        <is>
          <t>West Virginia</t>
        </is>
      </c>
      <c r="C284" t="inlineStr">
        <is>
          <t>BI Source</t>
        </is>
      </c>
      <c r="D284" t="inlineStr">
        <is>
          <t>Yes</t>
        </is>
      </c>
      <c r="E284" t="inlineStr">
        <is>
          <t>Yes</t>
        </is>
      </c>
      <c r="F284" s="501" t="inlineStr">
        <is>
          <t>Pass</t>
        </is>
      </c>
      <c r="G284" t="inlineStr"/>
    </row>
    <row r="285">
      <c r="A285" t="inlineStr">
        <is>
          <t>Minimum Requirements</t>
        </is>
      </c>
      <c r="B285" t="inlineStr">
        <is>
          <t>West Virginia</t>
        </is>
      </c>
      <c r="C285" t="inlineStr">
        <is>
          <t>PD Source</t>
        </is>
      </c>
      <c r="D285" t="inlineStr">
        <is>
          <t>Yes</t>
        </is>
      </c>
      <c r="E285" t="inlineStr">
        <is>
          <t>Yes</t>
        </is>
      </c>
      <c r="F285" s="501" t="inlineStr">
        <is>
          <t>Pass</t>
        </is>
      </c>
      <c r="G285" t="inlineStr"/>
    </row>
    <row r="286">
      <c r="A286" t="inlineStr">
        <is>
          <t>Minimum Requirements</t>
        </is>
      </c>
      <c r="B286" t="inlineStr">
        <is>
          <t>West Virginia</t>
        </is>
      </c>
      <c r="C286" t="inlineStr">
        <is>
          <t>PIP Source</t>
        </is>
      </c>
      <c r="D286" t="inlineStr">
        <is>
          <t>Yes</t>
        </is>
      </c>
      <c r="E286" t="inlineStr">
        <is>
          <t>Yes</t>
        </is>
      </c>
      <c r="F286" s="501" t="inlineStr">
        <is>
          <t>Pass</t>
        </is>
      </c>
      <c r="G286" t="inlineStr"/>
    </row>
    <row r="287">
      <c r="A287" t="inlineStr">
        <is>
          <t>Minimum Requirements</t>
        </is>
      </c>
      <c r="B287" t="inlineStr">
        <is>
          <t>West Virginia</t>
        </is>
      </c>
      <c r="C287" t="inlineStr">
        <is>
          <t>UM/UIM Source</t>
        </is>
      </c>
      <c r="D287" t="inlineStr">
        <is>
          <t>Yes</t>
        </is>
      </c>
      <c r="E287" t="inlineStr">
        <is>
          <t>Yes</t>
        </is>
      </c>
      <c r="F287" s="501" t="inlineStr">
        <is>
          <t>Pass</t>
        </is>
      </c>
      <c r="G287" t="inlineStr"/>
    </row>
    <row r="288">
      <c r="A288" t="inlineStr">
        <is>
          <t>Minimum Requirements</t>
        </is>
      </c>
      <c r="B288" t="inlineStr">
        <is>
          <t>West Virginia</t>
        </is>
      </c>
      <c r="C288" t="inlineStr">
        <is>
          <t>BI SOL Source</t>
        </is>
      </c>
      <c r="D288" t="inlineStr">
        <is>
          <t>Yes</t>
        </is>
      </c>
      <c r="E288" t="inlineStr">
        <is>
          <t>Yes</t>
        </is>
      </c>
      <c r="F288" s="501" t="inlineStr">
        <is>
          <t>Pass</t>
        </is>
      </c>
      <c r="G288" t="inlineStr"/>
    </row>
    <row r="289">
      <c r="A289" t="inlineStr">
        <is>
          <t>Minimum Requirements</t>
        </is>
      </c>
      <c r="B289" t="inlineStr">
        <is>
          <t>West Virginia</t>
        </is>
      </c>
      <c r="C289" t="inlineStr">
        <is>
          <t>PD SOL Source</t>
        </is>
      </c>
      <c r="D289" t="inlineStr">
        <is>
          <t>Yes</t>
        </is>
      </c>
      <c r="E289" t="inlineStr">
        <is>
          <t>Yes</t>
        </is>
      </c>
      <c r="F289" s="501" t="inlineStr">
        <is>
          <t>Pass</t>
        </is>
      </c>
      <c r="G289" t="inlineStr"/>
    </row>
    <row r="290">
      <c r="A290" t="inlineStr">
        <is>
          <t>Minimum Requirements</t>
        </is>
      </c>
      <c r="B290" t="inlineStr">
        <is>
          <t>Wisconsin</t>
        </is>
      </c>
      <c r="C290" t="inlineStr">
        <is>
          <t>BI Source</t>
        </is>
      </c>
      <c r="D290" t="inlineStr">
        <is>
          <t>Yes</t>
        </is>
      </c>
      <c r="E290" t="inlineStr">
        <is>
          <t>Yes</t>
        </is>
      </c>
      <c r="F290" s="501" t="inlineStr">
        <is>
          <t>Pass</t>
        </is>
      </c>
      <c r="G290" t="inlineStr"/>
    </row>
    <row r="291">
      <c r="A291" t="inlineStr">
        <is>
          <t>Minimum Requirements</t>
        </is>
      </c>
      <c r="B291" t="inlineStr">
        <is>
          <t>Wisconsin</t>
        </is>
      </c>
      <c r="C291" t="inlineStr">
        <is>
          <t>PD Source</t>
        </is>
      </c>
      <c r="D291" t="inlineStr">
        <is>
          <t>Yes</t>
        </is>
      </c>
      <c r="E291" t="inlineStr">
        <is>
          <t>Yes</t>
        </is>
      </c>
      <c r="F291" s="501" t="inlineStr">
        <is>
          <t>Pass</t>
        </is>
      </c>
      <c r="G291" t="inlineStr"/>
    </row>
    <row r="292">
      <c r="A292" t="inlineStr">
        <is>
          <t>Minimum Requirements</t>
        </is>
      </c>
      <c r="B292" t="inlineStr">
        <is>
          <t>Wisconsin</t>
        </is>
      </c>
      <c r="C292" t="inlineStr">
        <is>
          <t>PIP Source</t>
        </is>
      </c>
      <c r="D292" t="inlineStr">
        <is>
          <t>Yes</t>
        </is>
      </c>
      <c r="E292" t="inlineStr">
        <is>
          <t>Yes</t>
        </is>
      </c>
      <c r="F292" s="501" t="inlineStr">
        <is>
          <t>Pass</t>
        </is>
      </c>
      <c r="G292" t="inlineStr"/>
    </row>
    <row r="293">
      <c r="A293" t="inlineStr">
        <is>
          <t>Minimum Requirements</t>
        </is>
      </c>
      <c r="B293" t="inlineStr">
        <is>
          <t>Wisconsin</t>
        </is>
      </c>
      <c r="C293" t="inlineStr">
        <is>
          <t>UM/UIM Source</t>
        </is>
      </c>
      <c r="D293" t="inlineStr">
        <is>
          <t>Yes</t>
        </is>
      </c>
      <c r="E293" t="inlineStr">
        <is>
          <t>Yes</t>
        </is>
      </c>
      <c r="F293" s="501" t="inlineStr">
        <is>
          <t>Pass</t>
        </is>
      </c>
      <c r="G293" t="inlineStr"/>
    </row>
    <row r="294">
      <c r="A294" t="inlineStr">
        <is>
          <t>Minimum Requirements</t>
        </is>
      </c>
      <c r="B294" t="inlineStr">
        <is>
          <t>Wisconsin</t>
        </is>
      </c>
      <c r="C294" t="inlineStr">
        <is>
          <t>BI SOL Source</t>
        </is>
      </c>
      <c r="D294" t="inlineStr">
        <is>
          <t>Yes</t>
        </is>
      </c>
      <c r="E294" t="inlineStr">
        <is>
          <t>Yes</t>
        </is>
      </c>
      <c r="F294" s="501" t="inlineStr">
        <is>
          <t>Pass</t>
        </is>
      </c>
      <c r="G294" t="inlineStr"/>
    </row>
    <row r="295">
      <c r="A295" t="inlineStr">
        <is>
          <t>Minimum Requirements</t>
        </is>
      </c>
      <c r="B295" t="inlineStr">
        <is>
          <t>Wisconsin</t>
        </is>
      </c>
      <c r="C295" t="inlineStr">
        <is>
          <t>PD SOL Source</t>
        </is>
      </c>
      <c r="D295" t="inlineStr">
        <is>
          <t>Yes</t>
        </is>
      </c>
      <c r="E295" t="inlineStr">
        <is>
          <t>Yes</t>
        </is>
      </c>
      <c r="F295" s="501" t="inlineStr">
        <is>
          <t>Pass</t>
        </is>
      </c>
      <c r="G295" t="inlineStr"/>
    </row>
    <row r="296">
      <c r="A296" t="inlineStr">
        <is>
          <t>Minimum Requirements</t>
        </is>
      </c>
      <c r="B296" t="inlineStr">
        <is>
          <t>Wyoming</t>
        </is>
      </c>
      <c r="C296" t="inlineStr">
        <is>
          <t>BI Source</t>
        </is>
      </c>
      <c r="D296" t="inlineStr">
        <is>
          <t>Yes</t>
        </is>
      </c>
      <c r="E296" t="inlineStr">
        <is>
          <t>Yes</t>
        </is>
      </c>
      <c r="F296" s="501" t="inlineStr">
        <is>
          <t>Pass</t>
        </is>
      </c>
      <c r="G296" t="inlineStr"/>
    </row>
    <row r="297">
      <c r="A297" t="inlineStr">
        <is>
          <t>Minimum Requirements</t>
        </is>
      </c>
      <c r="B297" t="inlineStr">
        <is>
          <t>Wyoming</t>
        </is>
      </c>
      <c r="C297" t="inlineStr">
        <is>
          <t>PD Source</t>
        </is>
      </c>
      <c r="D297" t="inlineStr">
        <is>
          <t>Yes</t>
        </is>
      </c>
      <c r="E297" t="inlineStr">
        <is>
          <t>Yes</t>
        </is>
      </c>
      <c r="F297" s="501" t="inlineStr">
        <is>
          <t>Pass</t>
        </is>
      </c>
      <c r="G297" t="inlineStr"/>
    </row>
    <row r="298">
      <c r="A298" t="inlineStr">
        <is>
          <t>Minimum Requirements</t>
        </is>
      </c>
      <c r="B298" t="inlineStr">
        <is>
          <t>Wyoming</t>
        </is>
      </c>
      <c r="C298" t="inlineStr">
        <is>
          <t>PIP Source</t>
        </is>
      </c>
      <c r="D298" t="inlineStr">
        <is>
          <t>Yes</t>
        </is>
      </c>
      <c r="E298" t="inlineStr">
        <is>
          <t>Yes</t>
        </is>
      </c>
      <c r="F298" s="501" t="inlineStr">
        <is>
          <t>Pass</t>
        </is>
      </c>
      <c r="G298" t="inlineStr"/>
    </row>
    <row r="299">
      <c r="A299" t="inlineStr">
        <is>
          <t>Minimum Requirements</t>
        </is>
      </c>
      <c r="B299" t="inlineStr">
        <is>
          <t>Wyoming</t>
        </is>
      </c>
      <c r="C299" t="inlineStr">
        <is>
          <t>UM/UIM Source</t>
        </is>
      </c>
      <c r="D299" t="inlineStr">
        <is>
          <t>Yes</t>
        </is>
      </c>
      <c r="E299" t="inlineStr">
        <is>
          <t>Yes</t>
        </is>
      </c>
      <c r="F299" s="501" t="inlineStr">
        <is>
          <t>Pass</t>
        </is>
      </c>
      <c r="G299" t="inlineStr"/>
    </row>
    <row r="300">
      <c r="A300" t="inlineStr">
        <is>
          <t>Minimum Requirements</t>
        </is>
      </c>
      <c r="B300" t="inlineStr">
        <is>
          <t>Wyoming</t>
        </is>
      </c>
      <c r="C300" t="inlineStr">
        <is>
          <t>BI SOL Source</t>
        </is>
      </c>
      <c r="D300" t="inlineStr">
        <is>
          <t>Yes</t>
        </is>
      </c>
      <c r="E300" t="inlineStr">
        <is>
          <t>Yes</t>
        </is>
      </c>
      <c r="F300" s="501" t="inlineStr">
        <is>
          <t>Pass</t>
        </is>
      </c>
      <c r="G300" t="inlineStr"/>
    </row>
    <row r="301">
      <c r="A301" t="inlineStr">
        <is>
          <t>Minimum Requirements</t>
        </is>
      </c>
      <c r="B301" t="inlineStr">
        <is>
          <t>Wyoming</t>
        </is>
      </c>
      <c r="C301" t="inlineStr">
        <is>
          <t>PD SOL Source</t>
        </is>
      </c>
      <c r="D301" t="inlineStr">
        <is>
          <t>Yes</t>
        </is>
      </c>
      <c r="E301" t="inlineStr">
        <is>
          <t>Yes</t>
        </is>
      </c>
      <c r="F301" s="501" t="inlineStr">
        <is>
          <t>Pass</t>
        </is>
      </c>
      <c r="G301" t="inlineStr"/>
    </row>
    <row r="302">
      <c r="A302" t="inlineStr">
        <is>
          <t>Policy Disclosure</t>
        </is>
      </c>
      <c r="B302" t="inlineStr">
        <is>
          <t>Alabama</t>
        </is>
      </c>
      <c r="C302" t="inlineStr">
        <is>
          <t>Citation / URL</t>
        </is>
      </c>
      <c r="D302" t="inlineStr">
        <is>
          <t>Yes</t>
        </is>
      </c>
      <c r="E302" t="inlineStr">
        <is>
          <t>Yes</t>
        </is>
      </c>
      <c r="F302" s="501" t="inlineStr">
        <is>
          <t>Pass</t>
        </is>
      </c>
      <c r="G302" t="inlineStr"/>
    </row>
    <row r="303">
      <c r="A303" t="inlineStr">
        <is>
          <t>Policy Disclosure</t>
        </is>
      </c>
      <c r="B303" t="inlineStr">
        <is>
          <t>Alaska</t>
        </is>
      </c>
      <c r="C303" t="inlineStr">
        <is>
          <t>Citation / URL</t>
        </is>
      </c>
      <c r="D303" t="inlineStr">
        <is>
          <t>Yes</t>
        </is>
      </c>
      <c r="E303" t="inlineStr">
        <is>
          <t>Yes</t>
        </is>
      </c>
      <c r="F303" s="501" t="inlineStr">
        <is>
          <t>Pass</t>
        </is>
      </c>
      <c r="G303" t="inlineStr"/>
    </row>
    <row r="304">
      <c r="A304" t="inlineStr">
        <is>
          <t>Policy Disclosure</t>
        </is>
      </c>
      <c r="B304" t="inlineStr">
        <is>
          <t>Arizona</t>
        </is>
      </c>
      <c r="C304" t="inlineStr">
        <is>
          <t>Citation / URL</t>
        </is>
      </c>
      <c r="D304" t="inlineStr">
        <is>
          <t>Yes</t>
        </is>
      </c>
      <c r="E304" t="inlineStr">
        <is>
          <t>Yes</t>
        </is>
      </c>
      <c r="F304" s="501" t="inlineStr">
        <is>
          <t>Pass</t>
        </is>
      </c>
      <c r="G304" t="inlineStr"/>
    </row>
    <row r="305">
      <c r="A305" t="inlineStr">
        <is>
          <t>Policy Disclosure</t>
        </is>
      </c>
      <c r="B305" t="inlineStr">
        <is>
          <t>Arkansas</t>
        </is>
      </c>
      <c r="C305" t="inlineStr">
        <is>
          <t>Citation / URL</t>
        </is>
      </c>
      <c r="D305" t="inlineStr">
        <is>
          <t>Yes</t>
        </is>
      </c>
      <c r="E305" t="inlineStr">
        <is>
          <t>Yes</t>
        </is>
      </c>
      <c r="F305" s="501" t="inlineStr">
        <is>
          <t>Pass</t>
        </is>
      </c>
      <c r="G305" t="inlineStr"/>
    </row>
    <row r="306">
      <c r="A306" t="inlineStr">
        <is>
          <t>Policy Disclosure</t>
        </is>
      </c>
      <c r="B306" t="inlineStr">
        <is>
          <t>California</t>
        </is>
      </c>
      <c r="C306" t="inlineStr">
        <is>
          <t>Citation / URL</t>
        </is>
      </c>
      <c r="D306" t="inlineStr">
        <is>
          <t>Yes</t>
        </is>
      </c>
      <c r="E306" t="inlineStr">
        <is>
          <t>Yes</t>
        </is>
      </c>
      <c r="F306" s="501" t="inlineStr">
        <is>
          <t>Pass</t>
        </is>
      </c>
      <c r="G306" t="inlineStr"/>
    </row>
    <row r="307">
      <c r="A307" t="inlineStr">
        <is>
          <t>Policy Disclosure</t>
        </is>
      </c>
      <c r="B307" t="inlineStr">
        <is>
          <t>Colorado</t>
        </is>
      </c>
      <c r="C307" t="inlineStr">
        <is>
          <t>Citation / URL</t>
        </is>
      </c>
      <c r="D307" t="inlineStr">
        <is>
          <t>Yes</t>
        </is>
      </c>
      <c r="E307" t="inlineStr">
        <is>
          <t>Yes</t>
        </is>
      </c>
      <c r="F307" s="501" t="inlineStr">
        <is>
          <t>Pass</t>
        </is>
      </c>
      <c r="G307" t="inlineStr"/>
    </row>
    <row r="308">
      <c r="A308" t="inlineStr">
        <is>
          <t>Policy Disclosure</t>
        </is>
      </c>
      <c r="B308" t="inlineStr">
        <is>
          <t>Connecticut</t>
        </is>
      </c>
      <c r="C308" t="inlineStr">
        <is>
          <t>Citation / URL</t>
        </is>
      </c>
      <c r="D308" t="inlineStr">
        <is>
          <t>Yes</t>
        </is>
      </c>
      <c r="E308" t="inlineStr">
        <is>
          <t>Yes</t>
        </is>
      </c>
      <c r="F308" s="501" t="inlineStr">
        <is>
          <t>Pass</t>
        </is>
      </c>
      <c r="G308" t="inlineStr"/>
    </row>
    <row r="309">
      <c r="A309" t="inlineStr">
        <is>
          <t>Policy Disclosure</t>
        </is>
      </c>
      <c r="B309" t="inlineStr">
        <is>
          <t>Delaware</t>
        </is>
      </c>
      <c r="C309" t="inlineStr">
        <is>
          <t>Citation / URL</t>
        </is>
      </c>
      <c r="D309" t="inlineStr">
        <is>
          <t>Yes</t>
        </is>
      </c>
      <c r="E309" t="inlineStr">
        <is>
          <t>Yes</t>
        </is>
      </c>
      <c r="F309" s="501" t="inlineStr">
        <is>
          <t>Pass</t>
        </is>
      </c>
      <c r="G309" t="inlineStr"/>
    </row>
    <row r="310">
      <c r="A310" t="inlineStr">
        <is>
          <t>Policy Disclosure</t>
        </is>
      </c>
      <c r="B310" t="inlineStr">
        <is>
          <t>Florida</t>
        </is>
      </c>
      <c r="C310" t="inlineStr">
        <is>
          <t>Citation / URL</t>
        </is>
      </c>
      <c r="D310" t="inlineStr">
        <is>
          <t>Yes</t>
        </is>
      </c>
      <c r="E310" t="inlineStr">
        <is>
          <t>Yes</t>
        </is>
      </c>
      <c r="F310" s="501" t="inlineStr">
        <is>
          <t>Pass</t>
        </is>
      </c>
      <c r="G310" t="inlineStr"/>
    </row>
    <row r="311">
      <c r="A311" t="inlineStr">
        <is>
          <t>Policy Disclosure</t>
        </is>
      </c>
      <c r="B311" t="inlineStr">
        <is>
          <t>Georgia</t>
        </is>
      </c>
      <c r="C311" t="inlineStr">
        <is>
          <t>Citation / URL</t>
        </is>
      </c>
      <c r="D311" t="inlineStr">
        <is>
          <t>Yes</t>
        </is>
      </c>
      <c r="E311" t="inlineStr">
        <is>
          <t>Yes</t>
        </is>
      </c>
      <c r="F311" s="501" t="inlineStr">
        <is>
          <t>Pass</t>
        </is>
      </c>
      <c r="G311" t="inlineStr"/>
    </row>
    <row r="312">
      <c r="A312" t="inlineStr">
        <is>
          <t>Policy Disclosure</t>
        </is>
      </c>
      <c r="B312" t="inlineStr">
        <is>
          <t>Hawaii</t>
        </is>
      </c>
      <c r="C312" t="inlineStr">
        <is>
          <t>Citation / URL</t>
        </is>
      </c>
      <c r="D312" t="inlineStr">
        <is>
          <t>Yes</t>
        </is>
      </c>
      <c r="E312" t="inlineStr">
        <is>
          <t>Yes</t>
        </is>
      </c>
      <c r="F312" s="501" t="inlineStr">
        <is>
          <t>Pass</t>
        </is>
      </c>
      <c r="G312" t="inlineStr"/>
    </row>
    <row r="313">
      <c r="A313" t="inlineStr">
        <is>
          <t>Policy Disclosure</t>
        </is>
      </c>
      <c r="B313" t="inlineStr">
        <is>
          <t>Idaho</t>
        </is>
      </c>
      <c r="C313" t="inlineStr">
        <is>
          <t>Citation / URL</t>
        </is>
      </c>
      <c r="D313" t="inlineStr">
        <is>
          <t>Yes</t>
        </is>
      </c>
      <c r="E313" t="inlineStr">
        <is>
          <t>Yes</t>
        </is>
      </c>
      <c r="F313" s="501" t="inlineStr">
        <is>
          <t>Pass</t>
        </is>
      </c>
      <c r="G313" t="inlineStr"/>
    </row>
    <row r="314">
      <c r="A314" t="inlineStr">
        <is>
          <t>Policy Disclosure</t>
        </is>
      </c>
      <c r="B314" t="inlineStr">
        <is>
          <t>Illinois</t>
        </is>
      </c>
      <c r="C314" t="inlineStr">
        <is>
          <t>Citation / URL</t>
        </is>
      </c>
      <c r="D314" t="inlineStr">
        <is>
          <t>Yes</t>
        </is>
      </c>
      <c r="E314" t="inlineStr">
        <is>
          <t>Yes</t>
        </is>
      </c>
      <c r="F314" s="501" t="inlineStr">
        <is>
          <t>Pass</t>
        </is>
      </c>
      <c r="G314" t="inlineStr"/>
    </row>
    <row r="315">
      <c r="A315" t="inlineStr">
        <is>
          <t>Policy Disclosure</t>
        </is>
      </c>
      <c r="B315" t="inlineStr">
        <is>
          <t>Indiana</t>
        </is>
      </c>
      <c r="C315" t="inlineStr">
        <is>
          <t>Citation / URL</t>
        </is>
      </c>
      <c r="D315" t="inlineStr">
        <is>
          <t>Yes</t>
        </is>
      </c>
      <c r="E315" t="inlineStr">
        <is>
          <t>Yes</t>
        </is>
      </c>
      <c r="F315" s="501" t="inlineStr">
        <is>
          <t>Pass</t>
        </is>
      </c>
      <c r="G315" t="inlineStr"/>
    </row>
    <row r="316">
      <c r="A316" t="inlineStr">
        <is>
          <t>Policy Disclosure</t>
        </is>
      </c>
      <c r="B316" t="inlineStr">
        <is>
          <t>Iowa</t>
        </is>
      </c>
      <c r="C316" t="inlineStr">
        <is>
          <t>Citation / URL</t>
        </is>
      </c>
      <c r="D316" t="inlineStr">
        <is>
          <t>Yes</t>
        </is>
      </c>
      <c r="E316" t="inlineStr">
        <is>
          <t>Yes</t>
        </is>
      </c>
      <c r="F316" s="501" t="inlineStr">
        <is>
          <t>Pass</t>
        </is>
      </c>
      <c r="G316" t="inlineStr"/>
    </row>
    <row r="317">
      <c r="A317" t="inlineStr">
        <is>
          <t>Policy Disclosure</t>
        </is>
      </c>
      <c r="B317" t="inlineStr">
        <is>
          <t>Kansas</t>
        </is>
      </c>
      <c r="C317" t="inlineStr">
        <is>
          <t>Citation / URL</t>
        </is>
      </c>
      <c r="D317" t="inlineStr">
        <is>
          <t>Yes</t>
        </is>
      </c>
      <c r="E317" t="inlineStr">
        <is>
          <t>Yes</t>
        </is>
      </c>
      <c r="F317" s="501" t="inlineStr">
        <is>
          <t>Pass</t>
        </is>
      </c>
      <c r="G317" t="inlineStr"/>
    </row>
    <row r="318">
      <c r="A318" t="inlineStr">
        <is>
          <t>Policy Disclosure</t>
        </is>
      </c>
      <c r="B318" t="inlineStr">
        <is>
          <t>Kentucky</t>
        </is>
      </c>
      <c r="C318" t="inlineStr">
        <is>
          <t>Citation / URL</t>
        </is>
      </c>
      <c r="D318" t="inlineStr">
        <is>
          <t>Yes</t>
        </is>
      </c>
      <c r="E318" t="inlineStr">
        <is>
          <t>Yes</t>
        </is>
      </c>
      <c r="F318" s="501" t="inlineStr">
        <is>
          <t>Pass</t>
        </is>
      </c>
      <c r="G318" t="inlineStr"/>
    </row>
    <row r="319">
      <c r="A319" t="inlineStr">
        <is>
          <t>Policy Disclosure</t>
        </is>
      </c>
      <c r="B319" t="inlineStr">
        <is>
          <t>Louisiana</t>
        </is>
      </c>
      <c r="C319" t="inlineStr">
        <is>
          <t>Citation / URL</t>
        </is>
      </c>
      <c r="D319" t="inlineStr">
        <is>
          <t>Yes</t>
        </is>
      </c>
      <c r="E319" t="inlineStr">
        <is>
          <t>Yes</t>
        </is>
      </c>
      <c r="F319" s="501" t="inlineStr">
        <is>
          <t>Pass</t>
        </is>
      </c>
      <c r="G319" t="inlineStr"/>
    </row>
    <row r="320">
      <c r="A320" t="inlineStr">
        <is>
          <t>Policy Disclosure</t>
        </is>
      </c>
      <c r="B320" t="inlineStr">
        <is>
          <t>Maine</t>
        </is>
      </c>
      <c r="C320" t="inlineStr">
        <is>
          <t>Citation / URL</t>
        </is>
      </c>
      <c r="D320" t="inlineStr">
        <is>
          <t>Yes</t>
        </is>
      </c>
      <c r="E320" t="inlineStr">
        <is>
          <t>Yes</t>
        </is>
      </c>
      <c r="F320" s="501" t="inlineStr">
        <is>
          <t>Pass</t>
        </is>
      </c>
      <c r="G320" t="inlineStr"/>
    </row>
    <row r="321">
      <c r="A321" t="inlineStr">
        <is>
          <t>Policy Disclosure</t>
        </is>
      </c>
      <c r="B321" t="inlineStr">
        <is>
          <t>Maryland</t>
        </is>
      </c>
      <c r="C321" t="inlineStr">
        <is>
          <t>Citation / URL</t>
        </is>
      </c>
      <c r="D321" t="inlineStr">
        <is>
          <t>Yes</t>
        </is>
      </c>
      <c r="E321" t="inlineStr">
        <is>
          <t>Yes</t>
        </is>
      </c>
      <c r="F321" s="501" t="inlineStr">
        <is>
          <t>Pass</t>
        </is>
      </c>
      <c r="G321" t="inlineStr"/>
    </row>
    <row r="322">
      <c r="A322" t="inlineStr">
        <is>
          <t>Policy Disclosure</t>
        </is>
      </c>
      <c r="B322" t="inlineStr">
        <is>
          <t>Massachusetts</t>
        </is>
      </c>
      <c r="C322" t="inlineStr">
        <is>
          <t>Citation / URL</t>
        </is>
      </c>
      <c r="D322" t="inlineStr">
        <is>
          <t>Yes</t>
        </is>
      </c>
      <c r="E322" t="inlineStr">
        <is>
          <t>Yes</t>
        </is>
      </c>
      <c r="F322" s="501" t="inlineStr">
        <is>
          <t>Pass</t>
        </is>
      </c>
      <c r="G322" t="inlineStr"/>
    </row>
    <row r="323">
      <c r="A323" t="inlineStr">
        <is>
          <t>Policy Disclosure</t>
        </is>
      </c>
      <c r="B323" t="inlineStr">
        <is>
          <t>Michigan</t>
        </is>
      </c>
      <c r="C323" t="inlineStr">
        <is>
          <t>Citation / URL</t>
        </is>
      </c>
      <c r="D323" t="inlineStr">
        <is>
          <t>Yes</t>
        </is>
      </c>
      <c r="E323" t="inlineStr">
        <is>
          <t>Yes</t>
        </is>
      </c>
      <c r="F323" s="501" t="inlineStr">
        <is>
          <t>Pass</t>
        </is>
      </c>
      <c r="G323" t="inlineStr"/>
    </row>
    <row r="324">
      <c r="A324" t="inlineStr">
        <is>
          <t>Policy Disclosure</t>
        </is>
      </c>
      <c r="B324" t="inlineStr">
        <is>
          <t>Minnesota</t>
        </is>
      </c>
      <c r="C324" t="inlineStr">
        <is>
          <t>Citation / URL</t>
        </is>
      </c>
      <c r="D324" t="inlineStr">
        <is>
          <t>Yes</t>
        </is>
      </c>
      <c r="E324" t="inlineStr">
        <is>
          <t>Yes</t>
        </is>
      </c>
      <c r="F324" s="501" t="inlineStr">
        <is>
          <t>Pass</t>
        </is>
      </c>
      <c r="G324" t="inlineStr"/>
    </row>
    <row r="325">
      <c r="A325" t="inlineStr">
        <is>
          <t>Policy Disclosure</t>
        </is>
      </c>
      <c r="B325" t="inlineStr">
        <is>
          <t>Mississippi</t>
        </is>
      </c>
      <c r="C325" t="inlineStr">
        <is>
          <t>Citation / URL</t>
        </is>
      </c>
      <c r="D325" t="inlineStr">
        <is>
          <t>Yes</t>
        </is>
      </c>
      <c r="E325" t="inlineStr">
        <is>
          <t>Yes</t>
        </is>
      </c>
      <c r="F325" s="501" t="inlineStr">
        <is>
          <t>Pass</t>
        </is>
      </c>
      <c r="G325" t="inlineStr"/>
    </row>
    <row r="326">
      <c r="A326" t="inlineStr">
        <is>
          <t>Policy Disclosure</t>
        </is>
      </c>
      <c r="B326" t="inlineStr">
        <is>
          <t>Missouri</t>
        </is>
      </c>
      <c r="C326" t="inlineStr">
        <is>
          <t>Citation / URL</t>
        </is>
      </c>
      <c r="D326" t="inlineStr">
        <is>
          <t>Yes</t>
        </is>
      </c>
      <c r="E326" t="inlineStr">
        <is>
          <t>Yes</t>
        </is>
      </c>
      <c r="F326" s="501" t="inlineStr">
        <is>
          <t>Pass</t>
        </is>
      </c>
      <c r="G326" t="inlineStr"/>
    </row>
    <row r="327">
      <c r="A327" t="inlineStr">
        <is>
          <t>Policy Disclosure</t>
        </is>
      </c>
      <c r="B327" t="inlineStr">
        <is>
          <t>Montana</t>
        </is>
      </c>
      <c r="C327" t="inlineStr">
        <is>
          <t>Citation / URL</t>
        </is>
      </c>
      <c r="D327" t="inlineStr">
        <is>
          <t>Yes</t>
        </is>
      </c>
      <c r="E327" t="inlineStr">
        <is>
          <t>Yes</t>
        </is>
      </c>
      <c r="F327" s="501" t="inlineStr">
        <is>
          <t>Pass</t>
        </is>
      </c>
      <c r="G327" t="inlineStr"/>
    </row>
    <row r="328">
      <c r="A328" t="inlineStr">
        <is>
          <t>Policy Disclosure</t>
        </is>
      </c>
      <c r="B328" t="inlineStr">
        <is>
          <t>Nebraska</t>
        </is>
      </c>
      <c r="C328" t="inlineStr">
        <is>
          <t>Citation / URL</t>
        </is>
      </c>
      <c r="D328" t="inlineStr">
        <is>
          <t>Yes</t>
        </is>
      </c>
      <c r="E328" t="inlineStr">
        <is>
          <t>Yes</t>
        </is>
      </c>
      <c r="F328" s="501" t="inlineStr">
        <is>
          <t>Pass</t>
        </is>
      </c>
      <c r="G328" t="inlineStr"/>
    </row>
    <row r="329">
      <c r="A329" t="inlineStr">
        <is>
          <t>Policy Disclosure</t>
        </is>
      </c>
      <c r="B329" t="inlineStr">
        <is>
          <t>Nevada</t>
        </is>
      </c>
      <c r="C329" t="inlineStr">
        <is>
          <t>Citation / URL</t>
        </is>
      </c>
      <c r="D329" t="inlineStr">
        <is>
          <t>Yes</t>
        </is>
      </c>
      <c r="E329" t="inlineStr">
        <is>
          <t>Yes</t>
        </is>
      </c>
      <c r="F329" s="501" t="inlineStr">
        <is>
          <t>Pass</t>
        </is>
      </c>
      <c r="G329" t="inlineStr"/>
    </row>
    <row r="330">
      <c r="A330" t="inlineStr">
        <is>
          <t>Policy Disclosure</t>
        </is>
      </c>
      <c r="B330" t="inlineStr">
        <is>
          <t>New Hampshire</t>
        </is>
      </c>
      <c r="C330" t="inlineStr">
        <is>
          <t>Citation / URL</t>
        </is>
      </c>
      <c r="D330" t="inlineStr">
        <is>
          <t>Yes</t>
        </is>
      </c>
      <c r="E330" t="inlineStr">
        <is>
          <t>Yes</t>
        </is>
      </c>
      <c r="F330" s="501" t="inlineStr">
        <is>
          <t>Pass</t>
        </is>
      </c>
      <c r="G330" t="inlineStr"/>
    </row>
    <row r="331">
      <c r="A331" t="inlineStr">
        <is>
          <t>Policy Disclosure</t>
        </is>
      </c>
      <c r="B331" t="inlineStr">
        <is>
          <t>New Jersey</t>
        </is>
      </c>
      <c r="C331" t="inlineStr">
        <is>
          <t>Citation / URL</t>
        </is>
      </c>
      <c r="D331" t="inlineStr">
        <is>
          <t>Yes</t>
        </is>
      </c>
      <c r="E331" t="inlineStr">
        <is>
          <t>Yes</t>
        </is>
      </c>
      <c r="F331" s="501" t="inlineStr">
        <is>
          <t>Pass</t>
        </is>
      </c>
      <c r="G331" t="inlineStr"/>
    </row>
    <row r="332">
      <c r="A332" t="inlineStr">
        <is>
          <t>Policy Disclosure</t>
        </is>
      </c>
      <c r="B332" t="inlineStr">
        <is>
          <t>New Mexico</t>
        </is>
      </c>
      <c r="C332" t="inlineStr">
        <is>
          <t>Citation / URL</t>
        </is>
      </c>
      <c r="D332" t="inlineStr">
        <is>
          <t>Yes</t>
        </is>
      </c>
      <c r="E332" t="inlineStr">
        <is>
          <t>Yes</t>
        </is>
      </c>
      <c r="F332" s="501" t="inlineStr">
        <is>
          <t>Pass</t>
        </is>
      </c>
      <c r="G332" t="inlineStr"/>
    </row>
    <row r="333">
      <c r="A333" t="inlineStr">
        <is>
          <t>Policy Disclosure</t>
        </is>
      </c>
      <c r="B333" t="inlineStr">
        <is>
          <t>New York</t>
        </is>
      </c>
      <c r="C333" t="inlineStr">
        <is>
          <t>Citation / URL</t>
        </is>
      </c>
      <c r="D333" t="inlineStr">
        <is>
          <t>Yes</t>
        </is>
      </c>
      <c r="E333" t="inlineStr">
        <is>
          <t>Yes</t>
        </is>
      </c>
      <c r="F333" s="501" t="inlineStr">
        <is>
          <t>Pass</t>
        </is>
      </c>
      <c r="G333" t="inlineStr"/>
    </row>
    <row r="334">
      <c r="A334" t="inlineStr">
        <is>
          <t>Policy Disclosure</t>
        </is>
      </c>
      <c r="B334" t="inlineStr">
        <is>
          <t>North Carolina</t>
        </is>
      </c>
      <c r="C334" t="inlineStr">
        <is>
          <t>Citation / URL</t>
        </is>
      </c>
      <c r="D334" t="inlineStr">
        <is>
          <t>Yes</t>
        </is>
      </c>
      <c r="E334" t="inlineStr">
        <is>
          <t>Yes</t>
        </is>
      </c>
      <c r="F334" s="501" t="inlineStr">
        <is>
          <t>Pass</t>
        </is>
      </c>
      <c r="G334" t="inlineStr"/>
    </row>
    <row r="335">
      <c r="A335" t="inlineStr">
        <is>
          <t>Policy Disclosure</t>
        </is>
      </c>
      <c r="B335" t="inlineStr">
        <is>
          <t>North Dakota</t>
        </is>
      </c>
      <c r="C335" t="inlineStr">
        <is>
          <t>Citation / URL</t>
        </is>
      </c>
      <c r="D335" t="inlineStr">
        <is>
          <t>Yes</t>
        </is>
      </c>
      <c r="E335" t="inlineStr">
        <is>
          <t>Yes</t>
        </is>
      </c>
      <c r="F335" s="501" t="inlineStr">
        <is>
          <t>Pass</t>
        </is>
      </c>
      <c r="G335" t="inlineStr"/>
    </row>
    <row r="336">
      <c r="A336" t="inlineStr">
        <is>
          <t>Policy Disclosure</t>
        </is>
      </c>
      <c r="B336" t="inlineStr">
        <is>
          <t>Ohio</t>
        </is>
      </c>
      <c r="C336" t="inlineStr">
        <is>
          <t>Citation / URL</t>
        </is>
      </c>
      <c r="D336" t="inlineStr">
        <is>
          <t>Yes</t>
        </is>
      </c>
      <c r="E336" t="inlineStr">
        <is>
          <t>Yes</t>
        </is>
      </c>
      <c r="F336" s="501" t="inlineStr">
        <is>
          <t>Pass</t>
        </is>
      </c>
      <c r="G336" t="inlineStr"/>
    </row>
    <row r="337">
      <c r="A337" t="inlineStr">
        <is>
          <t>Policy Disclosure</t>
        </is>
      </c>
      <c r="B337" t="inlineStr">
        <is>
          <t>Oklahoma</t>
        </is>
      </c>
      <c r="C337" t="inlineStr">
        <is>
          <t>Citation / URL</t>
        </is>
      </c>
      <c r="D337" t="inlineStr">
        <is>
          <t>Yes</t>
        </is>
      </c>
      <c r="E337" t="inlineStr">
        <is>
          <t>Yes</t>
        </is>
      </c>
      <c r="F337" s="501" t="inlineStr">
        <is>
          <t>Pass</t>
        </is>
      </c>
      <c r="G337" t="inlineStr"/>
    </row>
    <row r="338">
      <c r="A338" t="inlineStr">
        <is>
          <t>Policy Disclosure</t>
        </is>
      </c>
      <c r="B338" t="inlineStr">
        <is>
          <t>Oregon</t>
        </is>
      </c>
      <c r="C338" t="inlineStr">
        <is>
          <t>Citation / URL</t>
        </is>
      </c>
      <c r="D338" t="inlineStr">
        <is>
          <t>Yes</t>
        </is>
      </c>
      <c r="E338" t="inlineStr">
        <is>
          <t>Yes</t>
        </is>
      </c>
      <c r="F338" s="501" t="inlineStr">
        <is>
          <t>Pass</t>
        </is>
      </c>
      <c r="G338" t="inlineStr"/>
    </row>
    <row r="339">
      <c r="A339" t="inlineStr">
        <is>
          <t>Policy Disclosure</t>
        </is>
      </c>
      <c r="B339" t="inlineStr">
        <is>
          <t>Pennsylvania</t>
        </is>
      </c>
      <c r="C339" t="inlineStr">
        <is>
          <t>Citation / URL</t>
        </is>
      </c>
      <c r="D339" t="inlineStr">
        <is>
          <t>Yes</t>
        </is>
      </c>
      <c r="E339" t="inlineStr">
        <is>
          <t>Yes</t>
        </is>
      </c>
      <c r="F339" s="501" t="inlineStr">
        <is>
          <t>Pass</t>
        </is>
      </c>
      <c r="G339" t="inlineStr"/>
    </row>
    <row r="340">
      <c r="A340" t="inlineStr">
        <is>
          <t>Policy Disclosure</t>
        </is>
      </c>
      <c r="B340" t="inlineStr">
        <is>
          <t>Rhode Island</t>
        </is>
      </c>
      <c r="C340" t="inlineStr">
        <is>
          <t>Citation / URL</t>
        </is>
      </c>
      <c r="D340" t="inlineStr">
        <is>
          <t>Yes</t>
        </is>
      </c>
      <c r="E340" t="inlineStr">
        <is>
          <t>Yes</t>
        </is>
      </c>
      <c r="F340" s="501" t="inlineStr">
        <is>
          <t>Pass</t>
        </is>
      </c>
      <c r="G340" t="inlineStr"/>
    </row>
    <row r="341">
      <c r="A341" t="inlineStr">
        <is>
          <t>Policy Disclosure</t>
        </is>
      </c>
      <c r="B341" t="inlineStr">
        <is>
          <t>South Carolina</t>
        </is>
      </c>
      <c r="C341" t="inlineStr">
        <is>
          <t>Citation / URL</t>
        </is>
      </c>
      <c r="D341" t="inlineStr">
        <is>
          <t>Yes</t>
        </is>
      </c>
      <c r="E341" t="inlineStr">
        <is>
          <t>Yes</t>
        </is>
      </c>
      <c r="F341" s="501" t="inlineStr">
        <is>
          <t>Pass</t>
        </is>
      </c>
      <c r="G341" t="inlineStr"/>
    </row>
    <row r="342">
      <c r="A342" t="inlineStr">
        <is>
          <t>Policy Disclosure</t>
        </is>
      </c>
      <c r="B342" t="inlineStr">
        <is>
          <t>South Dakota</t>
        </is>
      </c>
      <c r="C342" t="inlineStr">
        <is>
          <t>Citation / URL</t>
        </is>
      </c>
      <c r="D342" t="inlineStr">
        <is>
          <t>Yes</t>
        </is>
      </c>
      <c r="E342" t="inlineStr">
        <is>
          <t>Yes</t>
        </is>
      </c>
      <c r="F342" s="501" t="inlineStr">
        <is>
          <t>Pass</t>
        </is>
      </c>
      <c r="G342" t="inlineStr"/>
    </row>
    <row r="343">
      <c r="A343" t="inlineStr">
        <is>
          <t>Policy Disclosure</t>
        </is>
      </c>
      <c r="B343" t="inlineStr">
        <is>
          <t>Tennessee</t>
        </is>
      </c>
      <c r="C343" t="inlineStr">
        <is>
          <t>Citation / URL</t>
        </is>
      </c>
      <c r="D343" t="inlineStr">
        <is>
          <t>Yes</t>
        </is>
      </c>
      <c r="E343" t="inlineStr">
        <is>
          <t>Yes</t>
        </is>
      </c>
      <c r="F343" s="501" t="inlineStr">
        <is>
          <t>Pass</t>
        </is>
      </c>
      <c r="G343" t="inlineStr"/>
    </row>
    <row r="344">
      <c r="A344" t="inlineStr">
        <is>
          <t>Policy Disclosure</t>
        </is>
      </c>
      <c r="B344" t="inlineStr">
        <is>
          <t>Texas</t>
        </is>
      </c>
      <c r="C344" t="inlineStr">
        <is>
          <t>Citation / URL</t>
        </is>
      </c>
      <c r="D344" t="inlineStr">
        <is>
          <t>Yes</t>
        </is>
      </c>
      <c r="E344" t="inlineStr">
        <is>
          <t>Yes</t>
        </is>
      </c>
      <c r="F344" s="501" t="inlineStr">
        <is>
          <t>Pass</t>
        </is>
      </c>
      <c r="G344" t="inlineStr"/>
    </row>
    <row r="345">
      <c r="A345" t="inlineStr">
        <is>
          <t>Policy Disclosure</t>
        </is>
      </c>
      <c r="B345" t="inlineStr">
        <is>
          <t>Utah</t>
        </is>
      </c>
      <c r="C345" t="inlineStr">
        <is>
          <t>Citation / URL</t>
        </is>
      </c>
      <c r="D345" t="inlineStr">
        <is>
          <t>Yes</t>
        </is>
      </c>
      <c r="E345" t="inlineStr">
        <is>
          <t>Yes</t>
        </is>
      </c>
      <c r="F345" s="501" t="inlineStr">
        <is>
          <t>Pass</t>
        </is>
      </c>
      <c r="G345" t="inlineStr"/>
    </row>
    <row r="346">
      <c r="A346" t="inlineStr">
        <is>
          <t>Policy Disclosure</t>
        </is>
      </c>
      <c r="B346" t="inlineStr">
        <is>
          <t>Vermont</t>
        </is>
      </c>
      <c r="C346" t="inlineStr">
        <is>
          <t>Citation / URL</t>
        </is>
      </c>
      <c r="D346" t="inlineStr">
        <is>
          <t>Yes</t>
        </is>
      </c>
      <c r="E346" t="inlineStr">
        <is>
          <t>Yes</t>
        </is>
      </c>
      <c r="F346" s="501" t="inlineStr">
        <is>
          <t>Pass</t>
        </is>
      </c>
      <c r="G346" t="inlineStr"/>
    </row>
    <row r="347">
      <c r="A347" t="inlineStr">
        <is>
          <t>Policy Disclosure</t>
        </is>
      </c>
      <c r="B347" t="inlineStr">
        <is>
          <t>Virginia</t>
        </is>
      </c>
      <c r="C347" t="inlineStr">
        <is>
          <t>Citation / URL</t>
        </is>
      </c>
      <c r="D347" t="inlineStr">
        <is>
          <t>Yes</t>
        </is>
      </c>
      <c r="E347" t="inlineStr">
        <is>
          <t>Yes</t>
        </is>
      </c>
      <c r="F347" s="501" t="inlineStr">
        <is>
          <t>Pass</t>
        </is>
      </c>
      <c r="G347" t="inlineStr"/>
    </row>
    <row r="348">
      <c r="A348" t="inlineStr">
        <is>
          <t>Policy Disclosure</t>
        </is>
      </c>
      <c r="B348" t="inlineStr">
        <is>
          <t>Washington</t>
        </is>
      </c>
      <c r="C348" t="inlineStr">
        <is>
          <t>Citation / URL</t>
        </is>
      </c>
      <c r="D348" t="inlineStr">
        <is>
          <t>Yes</t>
        </is>
      </c>
      <c r="E348" t="inlineStr">
        <is>
          <t>Yes</t>
        </is>
      </c>
      <c r="F348" s="501" t="inlineStr">
        <is>
          <t>Pass</t>
        </is>
      </c>
      <c r="G348" t="inlineStr"/>
    </row>
    <row r="349">
      <c r="A349" t="inlineStr">
        <is>
          <t>Policy Disclosure</t>
        </is>
      </c>
      <c r="B349" t="inlineStr">
        <is>
          <t>West Virginia</t>
        </is>
      </c>
      <c r="C349" t="inlineStr">
        <is>
          <t>Citation / URL</t>
        </is>
      </c>
      <c r="D349" t="inlineStr">
        <is>
          <t>Yes</t>
        </is>
      </c>
      <c r="E349" t="inlineStr">
        <is>
          <t>Yes</t>
        </is>
      </c>
      <c r="F349" s="501" t="inlineStr">
        <is>
          <t>Pass</t>
        </is>
      </c>
      <c r="G349" t="inlineStr"/>
    </row>
    <row r="350">
      <c r="A350" t="inlineStr">
        <is>
          <t>Policy Disclosure</t>
        </is>
      </c>
      <c r="B350" t="inlineStr">
        <is>
          <t>Wisconsin</t>
        </is>
      </c>
      <c r="C350" t="inlineStr">
        <is>
          <t>Citation / URL</t>
        </is>
      </c>
      <c r="D350" t="inlineStr">
        <is>
          <t>Yes</t>
        </is>
      </c>
      <c r="E350" t="inlineStr">
        <is>
          <t>Yes</t>
        </is>
      </c>
      <c r="F350" s="501" t="inlineStr">
        <is>
          <t>Pass</t>
        </is>
      </c>
      <c r="G350" t="inlineStr"/>
    </row>
    <row r="351">
      <c r="A351" t="inlineStr">
        <is>
          <t>Policy Disclosure</t>
        </is>
      </c>
      <c r="B351" t="inlineStr">
        <is>
          <t>Wyoming</t>
        </is>
      </c>
      <c r="C351" t="inlineStr">
        <is>
          <t>Citation / URL</t>
        </is>
      </c>
      <c r="D351" t="inlineStr">
        <is>
          <t>Yes</t>
        </is>
      </c>
      <c r="E351" t="inlineStr">
        <is>
          <t>Yes</t>
        </is>
      </c>
      <c r="F351" s="501" t="inlineStr">
        <is>
          <t>Pass</t>
        </is>
      </c>
      <c r="G351" t="inlineStr"/>
    </row>
    <row r="352">
      <c r="A352" t="inlineStr">
        <is>
          <t>Claims Deadlines</t>
        </is>
      </c>
      <c r="B352" t="inlineStr">
        <is>
          <t>Alabama</t>
        </is>
      </c>
      <c r="C352" t="inlineStr">
        <is>
          <t>Citation / URL</t>
        </is>
      </c>
      <c r="D352" t="inlineStr">
        <is>
          <t>Yes</t>
        </is>
      </c>
      <c r="E352" t="inlineStr">
        <is>
          <t>Yes</t>
        </is>
      </c>
      <c r="F352" s="501" t="inlineStr">
        <is>
          <t>Pass</t>
        </is>
      </c>
      <c r="G352" t="inlineStr"/>
    </row>
    <row r="353">
      <c r="A353" t="inlineStr">
        <is>
          <t>Claims Deadlines</t>
        </is>
      </c>
      <c r="B353" t="inlineStr">
        <is>
          <t>Alaska</t>
        </is>
      </c>
      <c r="C353" t="inlineStr">
        <is>
          <t>Citation / URL</t>
        </is>
      </c>
      <c r="D353" t="inlineStr">
        <is>
          <t>Yes</t>
        </is>
      </c>
      <c r="E353" t="inlineStr">
        <is>
          <t>Yes</t>
        </is>
      </c>
      <c r="F353" s="501" t="inlineStr">
        <is>
          <t>Pass</t>
        </is>
      </c>
      <c r="G353" t="inlineStr"/>
    </row>
    <row r="354">
      <c r="A354" t="inlineStr">
        <is>
          <t>Claims Deadlines</t>
        </is>
      </c>
      <c r="B354" t="inlineStr">
        <is>
          <t>Arizona</t>
        </is>
      </c>
      <c r="C354" t="inlineStr">
        <is>
          <t>Citation / URL</t>
        </is>
      </c>
      <c r="D354" t="inlineStr">
        <is>
          <t>Yes</t>
        </is>
      </c>
      <c r="E354" t="inlineStr">
        <is>
          <t>Yes</t>
        </is>
      </c>
      <c r="F354" s="501" t="inlineStr">
        <is>
          <t>Pass</t>
        </is>
      </c>
      <c r="G354" t="inlineStr"/>
    </row>
    <row r="355">
      <c r="A355" t="inlineStr">
        <is>
          <t>Claims Deadlines</t>
        </is>
      </c>
      <c r="B355" t="inlineStr">
        <is>
          <t>Arkansas</t>
        </is>
      </c>
      <c r="C355" t="inlineStr">
        <is>
          <t>Citation / URL</t>
        </is>
      </c>
      <c r="D355" t="inlineStr">
        <is>
          <t>Yes</t>
        </is>
      </c>
      <c r="E355" t="inlineStr">
        <is>
          <t>Yes</t>
        </is>
      </c>
      <c r="F355" s="501" t="inlineStr">
        <is>
          <t>Pass</t>
        </is>
      </c>
      <c r="G355" t="inlineStr"/>
    </row>
    <row r="356">
      <c r="A356" t="inlineStr">
        <is>
          <t>Claims Deadlines</t>
        </is>
      </c>
      <c r="B356" t="inlineStr">
        <is>
          <t>California</t>
        </is>
      </c>
      <c r="C356" t="inlineStr">
        <is>
          <t>Citation / URL</t>
        </is>
      </c>
      <c r="D356" t="inlineStr">
        <is>
          <t>Yes</t>
        </is>
      </c>
      <c r="E356" t="inlineStr">
        <is>
          <t>Yes</t>
        </is>
      </c>
      <c r="F356" s="501" t="inlineStr">
        <is>
          <t>Pass</t>
        </is>
      </c>
      <c r="G356" t="inlineStr"/>
    </row>
    <row r="357">
      <c r="A357" t="inlineStr">
        <is>
          <t>Claims Deadlines</t>
        </is>
      </c>
      <c r="B357" t="inlineStr">
        <is>
          <t>Colorado</t>
        </is>
      </c>
      <c r="C357" t="inlineStr">
        <is>
          <t>Citation / URL</t>
        </is>
      </c>
      <c r="D357" t="inlineStr">
        <is>
          <t>Yes</t>
        </is>
      </c>
      <c r="E357" t="inlineStr">
        <is>
          <t>Yes</t>
        </is>
      </c>
      <c r="F357" s="501" t="inlineStr">
        <is>
          <t>Pass</t>
        </is>
      </c>
      <c r="G357" t="inlineStr"/>
    </row>
    <row r="358">
      <c r="A358" t="inlineStr">
        <is>
          <t>Claims Deadlines</t>
        </is>
      </c>
      <c r="B358" t="inlineStr">
        <is>
          <t>Connecticut</t>
        </is>
      </c>
      <c r="C358" t="inlineStr">
        <is>
          <t>Citation / URL</t>
        </is>
      </c>
      <c r="D358" t="inlineStr">
        <is>
          <t>Yes</t>
        </is>
      </c>
      <c r="E358" t="inlineStr">
        <is>
          <t>Yes</t>
        </is>
      </c>
      <c r="F358" s="501" t="inlineStr">
        <is>
          <t>Pass</t>
        </is>
      </c>
      <c r="G358" t="inlineStr"/>
    </row>
    <row r="359">
      <c r="A359" t="inlineStr">
        <is>
          <t>Claims Deadlines</t>
        </is>
      </c>
      <c r="B359" t="inlineStr">
        <is>
          <t>Delaware</t>
        </is>
      </c>
      <c r="C359" t="inlineStr">
        <is>
          <t>Citation / URL</t>
        </is>
      </c>
      <c r="D359" t="inlineStr">
        <is>
          <t>Yes</t>
        </is>
      </c>
      <c r="E359" t="inlineStr">
        <is>
          <t>Yes</t>
        </is>
      </c>
      <c r="F359" s="501" t="inlineStr">
        <is>
          <t>Pass</t>
        </is>
      </c>
      <c r="G359" t="inlineStr"/>
    </row>
    <row r="360">
      <c r="A360" t="inlineStr">
        <is>
          <t>Claims Deadlines</t>
        </is>
      </c>
      <c r="B360" t="inlineStr">
        <is>
          <t>Florida</t>
        </is>
      </c>
      <c r="C360" t="inlineStr">
        <is>
          <t>Citation / URL</t>
        </is>
      </c>
      <c r="D360" t="inlineStr">
        <is>
          <t>Yes</t>
        </is>
      </c>
      <c r="E360" t="inlineStr">
        <is>
          <t>Yes</t>
        </is>
      </c>
      <c r="F360" s="501" t="inlineStr">
        <is>
          <t>Pass</t>
        </is>
      </c>
      <c r="G360" t="inlineStr"/>
    </row>
    <row r="361">
      <c r="A361" t="inlineStr">
        <is>
          <t>Claims Deadlines</t>
        </is>
      </c>
      <c r="B361" t="inlineStr">
        <is>
          <t>Georgia</t>
        </is>
      </c>
      <c r="C361" t="inlineStr">
        <is>
          <t>Citation / URL</t>
        </is>
      </c>
      <c r="D361" t="inlineStr">
        <is>
          <t>Yes</t>
        </is>
      </c>
      <c r="E361" t="inlineStr">
        <is>
          <t>Yes</t>
        </is>
      </c>
      <c r="F361" s="501" t="inlineStr">
        <is>
          <t>Pass</t>
        </is>
      </c>
      <c r="G361" t="inlineStr"/>
    </row>
    <row r="362">
      <c r="A362" t="inlineStr">
        <is>
          <t>Claims Deadlines</t>
        </is>
      </c>
      <c r="B362" t="inlineStr">
        <is>
          <t>Hawaii</t>
        </is>
      </c>
      <c r="C362" t="inlineStr">
        <is>
          <t>Citation / URL</t>
        </is>
      </c>
      <c r="D362" t="inlineStr">
        <is>
          <t>Yes</t>
        </is>
      </c>
      <c r="E362" t="inlineStr">
        <is>
          <t>Yes</t>
        </is>
      </c>
      <c r="F362" s="501" t="inlineStr">
        <is>
          <t>Pass</t>
        </is>
      </c>
      <c r="G362" t="inlineStr"/>
    </row>
    <row r="363">
      <c r="A363" t="inlineStr">
        <is>
          <t>Claims Deadlines</t>
        </is>
      </c>
      <c r="B363" t="inlineStr">
        <is>
          <t>Idaho</t>
        </is>
      </c>
      <c r="C363" t="inlineStr">
        <is>
          <t>Citation / URL</t>
        </is>
      </c>
      <c r="D363" t="inlineStr">
        <is>
          <t>Yes</t>
        </is>
      </c>
      <c r="E363" t="inlineStr">
        <is>
          <t>Yes</t>
        </is>
      </c>
      <c r="F363" s="501" t="inlineStr">
        <is>
          <t>Pass</t>
        </is>
      </c>
      <c r="G363" t="inlineStr"/>
    </row>
    <row r="364">
      <c r="A364" t="inlineStr">
        <is>
          <t>Claims Deadlines</t>
        </is>
      </c>
      <c r="B364" t="inlineStr">
        <is>
          <t>Illinois</t>
        </is>
      </c>
      <c r="C364" t="inlineStr">
        <is>
          <t>Citation / URL</t>
        </is>
      </c>
      <c r="D364" t="inlineStr">
        <is>
          <t>Yes</t>
        </is>
      </c>
      <c r="E364" t="inlineStr">
        <is>
          <t>Yes</t>
        </is>
      </c>
      <c r="F364" s="501" t="inlineStr">
        <is>
          <t>Pass</t>
        </is>
      </c>
      <c r="G364" t="inlineStr"/>
    </row>
    <row r="365">
      <c r="A365" t="inlineStr">
        <is>
          <t>Claims Deadlines</t>
        </is>
      </c>
      <c r="B365" t="inlineStr">
        <is>
          <t>Indiana</t>
        </is>
      </c>
      <c r="C365" t="inlineStr">
        <is>
          <t>Citation / URL</t>
        </is>
      </c>
      <c r="D365" t="inlineStr">
        <is>
          <t>Yes</t>
        </is>
      </c>
      <c r="E365" t="inlineStr">
        <is>
          <t>Yes</t>
        </is>
      </c>
      <c r="F365" s="501" t="inlineStr">
        <is>
          <t>Pass</t>
        </is>
      </c>
      <c r="G365" t="inlineStr"/>
    </row>
    <row r="366">
      <c r="A366" t="inlineStr">
        <is>
          <t>Claims Deadlines</t>
        </is>
      </c>
      <c r="B366" t="inlineStr">
        <is>
          <t>Iowa</t>
        </is>
      </c>
      <c r="C366" t="inlineStr">
        <is>
          <t>Citation / URL</t>
        </is>
      </c>
      <c r="D366" t="inlineStr">
        <is>
          <t>Yes</t>
        </is>
      </c>
      <c r="E366" t="inlineStr">
        <is>
          <t>Yes</t>
        </is>
      </c>
      <c r="F366" s="501" t="inlineStr">
        <is>
          <t>Pass</t>
        </is>
      </c>
      <c r="G366" t="inlineStr"/>
    </row>
    <row r="367">
      <c r="A367" t="inlineStr">
        <is>
          <t>Claims Deadlines</t>
        </is>
      </c>
      <c r="B367" t="inlineStr">
        <is>
          <t>Kansas</t>
        </is>
      </c>
      <c r="C367" t="inlineStr">
        <is>
          <t>Citation / URL</t>
        </is>
      </c>
      <c r="D367" t="inlineStr">
        <is>
          <t>Yes</t>
        </is>
      </c>
      <c r="E367" t="inlineStr">
        <is>
          <t>Yes</t>
        </is>
      </c>
      <c r="F367" s="501" t="inlineStr">
        <is>
          <t>Pass</t>
        </is>
      </c>
      <c r="G367" t="inlineStr"/>
    </row>
    <row r="368">
      <c r="A368" t="inlineStr">
        <is>
          <t>Claims Deadlines</t>
        </is>
      </c>
      <c r="B368" t="inlineStr">
        <is>
          <t>Kentucky</t>
        </is>
      </c>
      <c r="C368" t="inlineStr">
        <is>
          <t>Citation / URL</t>
        </is>
      </c>
      <c r="D368" t="inlineStr">
        <is>
          <t>Yes</t>
        </is>
      </c>
      <c r="E368" t="inlineStr">
        <is>
          <t>Yes</t>
        </is>
      </c>
      <c r="F368" s="501" t="inlineStr">
        <is>
          <t>Pass</t>
        </is>
      </c>
      <c r="G368" t="inlineStr"/>
    </row>
    <row r="369">
      <c r="A369" t="inlineStr">
        <is>
          <t>Claims Deadlines</t>
        </is>
      </c>
      <c r="B369" t="inlineStr">
        <is>
          <t>Louisiana</t>
        </is>
      </c>
      <c r="C369" t="inlineStr">
        <is>
          <t>Citation / URL</t>
        </is>
      </c>
      <c r="D369" t="inlineStr">
        <is>
          <t>Yes</t>
        </is>
      </c>
      <c r="E369" t="inlineStr">
        <is>
          <t>Yes</t>
        </is>
      </c>
      <c r="F369" s="501" t="inlineStr">
        <is>
          <t>Pass</t>
        </is>
      </c>
      <c r="G369" t="inlineStr"/>
    </row>
    <row r="370">
      <c r="A370" t="inlineStr">
        <is>
          <t>Claims Deadlines</t>
        </is>
      </c>
      <c r="B370" t="inlineStr">
        <is>
          <t>Maine</t>
        </is>
      </c>
      <c r="C370" t="inlineStr">
        <is>
          <t>Citation / URL</t>
        </is>
      </c>
      <c r="D370" t="inlineStr">
        <is>
          <t>Yes</t>
        </is>
      </c>
      <c r="E370" t="inlineStr">
        <is>
          <t>Yes</t>
        </is>
      </c>
      <c r="F370" s="501" t="inlineStr">
        <is>
          <t>Pass</t>
        </is>
      </c>
      <c r="G370" t="inlineStr"/>
    </row>
    <row r="371">
      <c r="A371" t="inlineStr">
        <is>
          <t>Claims Deadlines</t>
        </is>
      </c>
      <c r="B371" t="inlineStr">
        <is>
          <t>Maryland</t>
        </is>
      </c>
      <c r="C371" t="inlineStr">
        <is>
          <t>Citation / URL</t>
        </is>
      </c>
      <c r="D371" t="inlineStr">
        <is>
          <t>Yes</t>
        </is>
      </c>
      <c r="E371" t="inlineStr">
        <is>
          <t>Yes</t>
        </is>
      </c>
      <c r="F371" s="501" t="inlineStr">
        <is>
          <t>Pass</t>
        </is>
      </c>
      <c r="G371" t="inlineStr"/>
    </row>
    <row r="372">
      <c r="A372" t="inlineStr">
        <is>
          <t>Claims Deadlines</t>
        </is>
      </c>
      <c r="B372" t="inlineStr">
        <is>
          <t>Massachusetts</t>
        </is>
      </c>
      <c r="C372" t="inlineStr">
        <is>
          <t>Citation / URL</t>
        </is>
      </c>
      <c r="D372" t="inlineStr">
        <is>
          <t>Yes</t>
        </is>
      </c>
      <c r="E372" t="inlineStr">
        <is>
          <t>Yes</t>
        </is>
      </c>
      <c r="F372" s="501" t="inlineStr">
        <is>
          <t>Pass</t>
        </is>
      </c>
      <c r="G372" t="inlineStr"/>
    </row>
    <row r="373">
      <c r="A373" t="inlineStr">
        <is>
          <t>Claims Deadlines</t>
        </is>
      </c>
      <c r="B373" t="inlineStr">
        <is>
          <t>Michigan</t>
        </is>
      </c>
      <c r="C373" t="inlineStr">
        <is>
          <t>Citation / URL</t>
        </is>
      </c>
      <c r="D373" t="inlineStr">
        <is>
          <t>Yes</t>
        </is>
      </c>
      <c r="E373" t="inlineStr">
        <is>
          <t>Yes</t>
        </is>
      </c>
      <c r="F373" s="501" t="inlineStr">
        <is>
          <t>Pass</t>
        </is>
      </c>
      <c r="G373" t="inlineStr"/>
    </row>
    <row r="374">
      <c r="A374" t="inlineStr">
        <is>
          <t>Claims Deadlines</t>
        </is>
      </c>
      <c r="B374" t="inlineStr">
        <is>
          <t>Minnesota</t>
        </is>
      </c>
      <c r="C374" t="inlineStr">
        <is>
          <t>Citation / URL</t>
        </is>
      </c>
      <c r="D374" t="inlineStr">
        <is>
          <t>Yes</t>
        </is>
      </c>
      <c r="E374" t="inlineStr">
        <is>
          <t>Yes</t>
        </is>
      </c>
      <c r="F374" s="501" t="inlineStr">
        <is>
          <t>Pass</t>
        </is>
      </c>
      <c r="G374" t="inlineStr"/>
    </row>
    <row r="375">
      <c r="A375" t="inlineStr">
        <is>
          <t>Claims Deadlines</t>
        </is>
      </c>
      <c r="B375" t="inlineStr">
        <is>
          <t>Mississippi</t>
        </is>
      </c>
      <c r="C375" t="inlineStr">
        <is>
          <t>Citation / URL</t>
        </is>
      </c>
      <c r="D375" t="inlineStr">
        <is>
          <t>Yes</t>
        </is>
      </c>
      <c r="E375" t="inlineStr">
        <is>
          <t>Yes</t>
        </is>
      </c>
      <c r="F375" s="501" t="inlineStr">
        <is>
          <t>Pass</t>
        </is>
      </c>
      <c r="G375" t="inlineStr"/>
    </row>
    <row r="376">
      <c r="A376" t="inlineStr">
        <is>
          <t>Claims Deadlines</t>
        </is>
      </c>
      <c r="B376" t="inlineStr">
        <is>
          <t>Missouri</t>
        </is>
      </c>
      <c r="C376" t="inlineStr">
        <is>
          <t>Citation / URL</t>
        </is>
      </c>
      <c r="D376" t="inlineStr">
        <is>
          <t>Yes</t>
        </is>
      </c>
      <c r="E376" t="inlineStr">
        <is>
          <t>Yes</t>
        </is>
      </c>
      <c r="F376" s="501" t="inlineStr">
        <is>
          <t>Pass</t>
        </is>
      </c>
      <c r="G376" t="inlineStr"/>
    </row>
    <row r="377">
      <c r="A377" t="inlineStr">
        <is>
          <t>Claims Deadlines</t>
        </is>
      </c>
      <c r="B377" t="inlineStr">
        <is>
          <t>Montana</t>
        </is>
      </c>
      <c r="C377" t="inlineStr">
        <is>
          <t>Citation / URL</t>
        </is>
      </c>
      <c r="D377" t="inlineStr">
        <is>
          <t>Yes</t>
        </is>
      </c>
      <c r="E377" t="inlineStr">
        <is>
          <t>Yes</t>
        </is>
      </c>
      <c r="F377" s="501" t="inlineStr">
        <is>
          <t>Pass</t>
        </is>
      </c>
      <c r="G377" t="inlineStr"/>
    </row>
    <row r="378">
      <c r="A378" t="inlineStr">
        <is>
          <t>Claims Deadlines</t>
        </is>
      </c>
      <c r="B378" t="inlineStr">
        <is>
          <t>Nebraska</t>
        </is>
      </c>
      <c r="C378" t="inlineStr">
        <is>
          <t>Citation / URL</t>
        </is>
      </c>
      <c r="D378" t="inlineStr">
        <is>
          <t>Yes</t>
        </is>
      </c>
      <c r="E378" t="inlineStr">
        <is>
          <t>Yes</t>
        </is>
      </c>
      <c r="F378" s="501" t="inlineStr">
        <is>
          <t>Pass</t>
        </is>
      </c>
      <c r="G378" t="inlineStr"/>
    </row>
    <row r="379">
      <c r="A379" t="inlineStr">
        <is>
          <t>Claims Deadlines</t>
        </is>
      </c>
      <c r="B379" t="inlineStr">
        <is>
          <t>Nevada</t>
        </is>
      </c>
      <c r="C379" t="inlineStr">
        <is>
          <t>Citation / URL</t>
        </is>
      </c>
      <c r="D379" t="inlineStr">
        <is>
          <t>Yes</t>
        </is>
      </c>
      <c r="E379" t="inlineStr">
        <is>
          <t>Yes</t>
        </is>
      </c>
      <c r="F379" s="501" t="inlineStr">
        <is>
          <t>Pass</t>
        </is>
      </c>
      <c r="G379" t="inlineStr"/>
    </row>
    <row r="380">
      <c r="A380" t="inlineStr">
        <is>
          <t>Claims Deadlines</t>
        </is>
      </c>
      <c r="B380" t="inlineStr">
        <is>
          <t>New Hampshire</t>
        </is>
      </c>
      <c r="C380" t="inlineStr">
        <is>
          <t>Citation / URL</t>
        </is>
      </c>
      <c r="D380" t="inlineStr">
        <is>
          <t>Yes</t>
        </is>
      </c>
      <c r="E380" t="inlineStr">
        <is>
          <t>Yes</t>
        </is>
      </c>
      <c r="F380" s="501" t="inlineStr">
        <is>
          <t>Pass</t>
        </is>
      </c>
      <c r="G380" t="inlineStr"/>
    </row>
    <row r="381">
      <c r="A381" t="inlineStr">
        <is>
          <t>Claims Deadlines</t>
        </is>
      </c>
      <c r="B381" t="inlineStr">
        <is>
          <t>New Jersey</t>
        </is>
      </c>
      <c r="C381" t="inlineStr">
        <is>
          <t>Citation / URL</t>
        </is>
      </c>
      <c r="D381" t="inlineStr">
        <is>
          <t>Yes</t>
        </is>
      </c>
      <c r="E381" t="inlineStr">
        <is>
          <t>Yes</t>
        </is>
      </c>
      <c r="F381" s="501" t="inlineStr">
        <is>
          <t>Pass</t>
        </is>
      </c>
      <c r="G381" t="inlineStr"/>
    </row>
    <row r="382">
      <c r="A382" t="inlineStr">
        <is>
          <t>Claims Deadlines</t>
        </is>
      </c>
      <c r="B382" t="inlineStr">
        <is>
          <t>New Mexico</t>
        </is>
      </c>
      <c r="C382" t="inlineStr">
        <is>
          <t>Citation / URL</t>
        </is>
      </c>
      <c r="D382" t="inlineStr">
        <is>
          <t>Yes</t>
        </is>
      </c>
      <c r="E382" t="inlineStr">
        <is>
          <t>Yes</t>
        </is>
      </c>
      <c r="F382" s="501" t="inlineStr">
        <is>
          <t>Pass</t>
        </is>
      </c>
      <c r="G382" t="inlineStr"/>
    </row>
    <row r="383">
      <c r="A383" t="inlineStr">
        <is>
          <t>Claims Deadlines</t>
        </is>
      </c>
      <c r="B383" t="inlineStr">
        <is>
          <t>New York</t>
        </is>
      </c>
      <c r="C383" t="inlineStr">
        <is>
          <t>Citation / URL</t>
        </is>
      </c>
      <c r="D383" t="inlineStr">
        <is>
          <t>Yes</t>
        </is>
      </c>
      <c r="E383" t="inlineStr">
        <is>
          <t>Yes</t>
        </is>
      </c>
      <c r="F383" s="501" t="inlineStr">
        <is>
          <t>Pass</t>
        </is>
      </c>
      <c r="G383" t="inlineStr"/>
    </row>
    <row r="384">
      <c r="A384" t="inlineStr">
        <is>
          <t>Claims Deadlines</t>
        </is>
      </c>
      <c r="B384" t="inlineStr">
        <is>
          <t>North Carolina</t>
        </is>
      </c>
      <c r="C384" t="inlineStr">
        <is>
          <t>Citation / URL</t>
        </is>
      </c>
      <c r="D384" t="inlineStr">
        <is>
          <t>Yes</t>
        </is>
      </c>
      <c r="E384" t="inlineStr">
        <is>
          <t>Yes</t>
        </is>
      </c>
      <c r="F384" s="501" t="inlineStr">
        <is>
          <t>Pass</t>
        </is>
      </c>
      <c r="G384" t="inlineStr"/>
    </row>
    <row r="385">
      <c r="A385" t="inlineStr">
        <is>
          <t>Claims Deadlines</t>
        </is>
      </c>
      <c r="B385" t="inlineStr">
        <is>
          <t>North Dakota</t>
        </is>
      </c>
      <c r="C385" t="inlineStr">
        <is>
          <t>Citation / URL</t>
        </is>
      </c>
      <c r="D385" t="inlineStr">
        <is>
          <t>Yes</t>
        </is>
      </c>
      <c r="E385" t="inlineStr">
        <is>
          <t>Yes</t>
        </is>
      </c>
      <c r="F385" s="501" t="inlineStr">
        <is>
          <t>Pass</t>
        </is>
      </c>
      <c r="G385" t="inlineStr"/>
    </row>
    <row r="386">
      <c r="A386" t="inlineStr">
        <is>
          <t>Claims Deadlines</t>
        </is>
      </c>
      <c r="B386" t="inlineStr">
        <is>
          <t>Ohio</t>
        </is>
      </c>
      <c r="C386" t="inlineStr">
        <is>
          <t>Citation / URL</t>
        </is>
      </c>
      <c r="D386" t="inlineStr">
        <is>
          <t>Yes</t>
        </is>
      </c>
      <c r="E386" t="inlineStr">
        <is>
          <t>Yes</t>
        </is>
      </c>
      <c r="F386" s="501" t="inlineStr">
        <is>
          <t>Pass</t>
        </is>
      </c>
      <c r="G386" t="inlineStr"/>
    </row>
    <row r="387">
      <c r="A387" t="inlineStr">
        <is>
          <t>Claims Deadlines</t>
        </is>
      </c>
      <c r="B387" t="inlineStr">
        <is>
          <t>Oklahoma</t>
        </is>
      </c>
      <c r="C387" t="inlineStr">
        <is>
          <t>Citation / URL</t>
        </is>
      </c>
      <c r="D387" t="inlineStr">
        <is>
          <t>Yes</t>
        </is>
      </c>
      <c r="E387" t="inlineStr">
        <is>
          <t>Yes</t>
        </is>
      </c>
      <c r="F387" s="501" t="inlineStr">
        <is>
          <t>Pass</t>
        </is>
      </c>
      <c r="G387" t="inlineStr"/>
    </row>
    <row r="388">
      <c r="A388" t="inlineStr">
        <is>
          <t>Claims Deadlines</t>
        </is>
      </c>
      <c r="B388" t="inlineStr">
        <is>
          <t>Oregon</t>
        </is>
      </c>
      <c r="C388" t="inlineStr">
        <is>
          <t>Citation / URL</t>
        </is>
      </c>
      <c r="D388" t="inlineStr">
        <is>
          <t>Yes</t>
        </is>
      </c>
      <c r="E388" t="inlineStr">
        <is>
          <t>Yes</t>
        </is>
      </c>
      <c r="F388" s="501" t="inlineStr">
        <is>
          <t>Pass</t>
        </is>
      </c>
      <c r="G388" t="inlineStr"/>
    </row>
    <row r="389">
      <c r="A389" t="inlineStr">
        <is>
          <t>Claims Deadlines</t>
        </is>
      </c>
      <c r="B389" t="inlineStr">
        <is>
          <t>Pennsylvania</t>
        </is>
      </c>
      <c r="C389" t="inlineStr">
        <is>
          <t>Citation / URL</t>
        </is>
      </c>
      <c r="D389" t="inlineStr">
        <is>
          <t>Yes</t>
        </is>
      </c>
      <c r="E389" t="inlineStr">
        <is>
          <t>Yes</t>
        </is>
      </c>
      <c r="F389" s="501" t="inlineStr">
        <is>
          <t>Pass</t>
        </is>
      </c>
      <c r="G389" t="inlineStr"/>
    </row>
    <row r="390">
      <c r="A390" t="inlineStr">
        <is>
          <t>Claims Deadlines</t>
        </is>
      </c>
      <c r="B390" t="inlineStr">
        <is>
          <t>Rhode Island</t>
        </is>
      </c>
      <c r="C390" t="inlineStr">
        <is>
          <t>Citation / URL</t>
        </is>
      </c>
      <c r="D390" t="inlineStr">
        <is>
          <t>Yes</t>
        </is>
      </c>
      <c r="E390" t="inlineStr">
        <is>
          <t>Yes</t>
        </is>
      </c>
      <c r="F390" s="501" t="inlineStr">
        <is>
          <t>Pass</t>
        </is>
      </c>
      <c r="G390" t="inlineStr"/>
    </row>
    <row r="391">
      <c r="A391" t="inlineStr">
        <is>
          <t>Claims Deadlines</t>
        </is>
      </c>
      <c r="B391" t="inlineStr">
        <is>
          <t>South Carolina</t>
        </is>
      </c>
      <c r="C391" t="inlineStr">
        <is>
          <t>Citation / URL</t>
        </is>
      </c>
      <c r="D391" t="inlineStr">
        <is>
          <t>Yes</t>
        </is>
      </c>
      <c r="E391" t="inlineStr">
        <is>
          <t>Yes</t>
        </is>
      </c>
      <c r="F391" s="501" t="inlineStr">
        <is>
          <t>Pass</t>
        </is>
      </c>
      <c r="G391" t="inlineStr"/>
    </row>
    <row r="392">
      <c r="A392" t="inlineStr">
        <is>
          <t>Claims Deadlines</t>
        </is>
      </c>
      <c r="B392" t="inlineStr">
        <is>
          <t>South Dakota</t>
        </is>
      </c>
      <c r="C392" t="inlineStr">
        <is>
          <t>Citation / URL</t>
        </is>
      </c>
      <c r="D392" t="inlineStr">
        <is>
          <t>Yes</t>
        </is>
      </c>
      <c r="E392" t="inlineStr">
        <is>
          <t>Yes</t>
        </is>
      </c>
      <c r="F392" s="501" t="inlineStr">
        <is>
          <t>Pass</t>
        </is>
      </c>
      <c r="G392" t="inlineStr"/>
    </row>
    <row r="393">
      <c r="A393" t="inlineStr">
        <is>
          <t>Claims Deadlines</t>
        </is>
      </c>
      <c r="B393" t="inlineStr">
        <is>
          <t>Tennessee</t>
        </is>
      </c>
      <c r="C393" t="inlineStr">
        <is>
          <t>Citation / URL</t>
        </is>
      </c>
      <c r="D393" t="inlineStr">
        <is>
          <t>Yes</t>
        </is>
      </c>
      <c r="E393" t="inlineStr">
        <is>
          <t>Yes</t>
        </is>
      </c>
      <c r="F393" s="501" t="inlineStr">
        <is>
          <t>Pass</t>
        </is>
      </c>
      <c r="G393" t="inlineStr"/>
    </row>
    <row r="394">
      <c r="A394" t="inlineStr">
        <is>
          <t>Claims Deadlines</t>
        </is>
      </c>
      <c r="B394" t="inlineStr">
        <is>
          <t>Texas</t>
        </is>
      </c>
      <c r="C394" t="inlineStr">
        <is>
          <t>Citation / URL</t>
        </is>
      </c>
      <c r="D394" t="inlineStr">
        <is>
          <t>Yes</t>
        </is>
      </c>
      <c r="E394" t="inlineStr">
        <is>
          <t>Yes</t>
        </is>
      </c>
      <c r="F394" s="501" t="inlineStr">
        <is>
          <t>Pass</t>
        </is>
      </c>
      <c r="G394" t="inlineStr"/>
    </row>
    <row r="395">
      <c r="A395" t="inlineStr">
        <is>
          <t>Claims Deadlines</t>
        </is>
      </c>
      <c r="B395" t="inlineStr">
        <is>
          <t>Utah</t>
        </is>
      </c>
      <c r="C395" t="inlineStr">
        <is>
          <t>Citation / URL</t>
        </is>
      </c>
      <c r="D395" t="inlineStr">
        <is>
          <t>Yes</t>
        </is>
      </c>
      <c r="E395" t="inlineStr">
        <is>
          <t>Yes</t>
        </is>
      </c>
      <c r="F395" s="501" t="inlineStr">
        <is>
          <t>Pass</t>
        </is>
      </c>
      <c r="G395" t="inlineStr"/>
    </row>
    <row r="396">
      <c r="A396" t="inlineStr">
        <is>
          <t>Claims Deadlines</t>
        </is>
      </c>
      <c r="B396" t="inlineStr">
        <is>
          <t>Vermont</t>
        </is>
      </c>
      <c r="C396" t="inlineStr">
        <is>
          <t>Citation / URL</t>
        </is>
      </c>
      <c r="D396" t="inlineStr">
        <is>
          <t>Yes</t>
        </is>
      </c>
      <c r="E396" t="inlineStr">
        <is>
          <t>Yes</t>
        </is>
      </c>
      <c r="F396" s="501" t="inlineStr">
        <is>
          <t>Pass</t>
        </is>
      </c>
      <c r="G396" t="inlineStr"/>
    </row>
    <row r="397">
      <c r="A397" t="inlineStr">
        <is>
          <t>Claims Deadlines</t>
        </is>
      </c>
      <c r="B397" t="inlineStr">
        <is>
          <t>Virginia</t>
        </is>
      </c>
      <c r="C397" t="inlineStr">
        <is>
          <t>Citation / URL</t>
        </is>
      </c>
      <c r="D397" t="inlineStr">
        <is>
          <t>Yes</t>
        </is>
      </c>
      <c r="E397" t="inlineStr">
        <is>
          <t>Yes</t>
        </is>
      </c>
      <c r="F397" s="501" t="inlineStr">
        <is>
          <t>Pass</t>
        </is>
      </c>
      <c r="G397" t="inlineStr"/>
    </row>
    <row r="398">
      <c r="A398" t="inlineStr">
        <is>
          <t>Claims Deadlines</t>
        </is>
      </c>
      <c r="B398" t="inlineStr">
        <is>
          <t>Washington</t>
        </is>
      </c>
      <c r="C398" t="inlineStr">
        <is>
          <t>Citation / URL</t>
        </is>
      </c>
      <c r="D398" t="inlineStr">
        <is>
          <t>Yes</t>
        </is>
      </c>
      <c r="E398" t="inlineStr">
        <is>
          <t>Yes</t>
        </is>
      </c>
      <c r="F398" s="501" t="inlineStr">
        <is>
          <t>Pass</t>
        </is>
      </c>
      <c r="G398" t="inlineStr"/>
    </row>
    <row r="399">
      <c r="A399" t="inlineStr">
        <is>
          <t>Claims Deadlines</t>
        </is>
      </c>
      <c r="B399" t="inlineStr">
        <is>
          <t>West Virginia</t>
        </is>
      </c>
      <c r="C399" t="inlineStr">
        <is>
          <t>Citation / URL</t>
        </is>
      </c>
      <c r="D399" t="inlineStr">
        <is>
          <t>Yes</t>
        </is>
      </c>
      <c r="E399" t="inlineStr">
        <is>
          <t>Yes</t>
        </is>
      </c>
      <c r="F399" s="501" t="inlineStr">
        <is>
          <t>Pass</t>
        </is>
      </c>
      <c r="G399" t="inlineStr"/>
    </row>
    <row r="400">
      <c r="A400" t="inlineStr">
        <is>
          <t>Claims Deadlines</t>
        </is>
      </c>
      <c r="B400" t="inlineStr">
        <is>
          <t>Wisconsin</t>
        </is>
      </c>
      <c r="C400" t="inlineStr">
        <is>
          <t>Citation / URL</t>
        </is>
      </c>
      <c r="D400" t="inlineStr">
        <is>
          <t>Yes</t>
        </is>
      </c>
      <c r="E400" t="inlineStr">
        <is>
          <t>Yes</t>
        </is>
      </c>
      <c r="F400" s="501" t="inlineStr">
        <is>
          <t>Pass</t>
        </is>
      </c>
      <c r="G400" t="inlineStr"/>
    </row>
    <row r="401">
      <c r="A401" t="inlineStr">
        <is>
          <t>Claims Deadlines</t>
        </is>
      </c>
      <c r="B401" t="inlineStr">
        <is>
          <t>Wyoming</t>
        </is>
      </c>
      <c r="C401" t="inlineStr">
        <is>
          <t>Citation / URL</t>
        </is>
      </c>
      <c r="D401" t="inlineStr">
        <is>
          <t>Yes</t>
        </is>
      </c>
      <c r="E401" t="inlineStr">
        <is>
          <t>Yes</t>
        </is>
      </c>
      <c r="F401" s="501" t="inlineStr">
        <is>
          <t>Pass</t>
        </is>
      </c>
      <c r="G401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style="355" min="1" max="1"/>
    <col width="85" customWidth="1" style="355" min="2" max="2"/>
  </cols>
  <sheetData>
    <row r="1">
      <c r="A1" s="499" t="inlineStr">
        <is>
          <t>Item</t>
        </is>
      </c>
      <c r="B1" s="499" t="inlineStr">
        <is>
          <t>Result</t>
        </is>
      </c>
    </row>
    <row r="2">
      <c r="A2" t="inlineStr">
        <is>
          <t>Minimum source hyperlinks restored</t>
        </is>
      </c>
      <c r="B2" t="n">
        <v>300</v>
      </c>
    </row>
    <row r="3">
      <c r="A3" t="inlineStr">
        <is>
          <t>Minimum source URL helper sheet added</t>
        </is>
      </c>
      <c r="B3" t="inlineStr">
        <is>
          <t>Yes</t>
        </is>
      </c>
    </row>
    <row r="4">
      <c r="A4" t="inlineStr">
        <is>
          <t>Production citation/link audit rows</t>
        </is>
      </c>
      <c r="B4" t="n">
        <v>400</v>
      </c>
    </row>
    <row r="5">
      <c r="A5" t="inlineStr">
        <is>
          <t>Audit failures remaining</t>
        </is>
      </c>
      <c r="B5" t="n">
        <v>0</v>
      </c>
    </row>
    <row r="6">
      <c r="A6" t="inlineStr">
        <is>
          <t>Root cause</t>
        </is>
      </c>
      <c r="B6" t="inlineStr">
        <is>
          <t>Prior processing stripped Excel hyperlink relationships from the minimum-source cells. The site then had citation labels but no external URL targets for older minimum links.</t>
        </is>
      </c>
    </row>
    <row r="7">
      <c r="A7" t="inlineStr">
        <is>
          <t>Fix</t>
        </is>
      </c>
      <c r="B7" t="inlineStr">
        <is>
          <t>Restored original working hyperlinks from the uploaded known-good workbook and added explicit URL helper sheet plus D13 audit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2026-06-07T07:29:51Z</dcterms:created>
  <dcterms:modified xmlns:dcterms="http://purl.org/dc/terms/" xmlns:xsi="http://www.w3.org/2001/XMLSchema-instance" xsi:type="dcterms:W3CDTF">2026-06-07T07:37:42Z</dcterms:modified>
</cp:coreProperties>
</file>